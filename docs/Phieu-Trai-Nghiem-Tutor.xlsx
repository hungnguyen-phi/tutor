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KỊCH BẢN" sheetId="2" state="visible" r:id="rId2"/>
    <sheet xmlns:r="http://schemas.openxmlformats.org/officeDocument/2006/relationships" name="GV-1" sheetId="3" state="visible" r:id="rId3"/>
    <sheet xmlns:r="http://schemas.openxmlformats.org/officeDocument/2006/relationships" name="GV-2" sheetId="4" state="visible" r:id="rId4"/>
    <sheet xmlns:r="http://schemas.openxmlformats.org/officeDocument/2006/relationships" name="GV-3" sheetId="5" state="visible" r:id="rId5"/>
    <sheet xmlns:r="http://schemas.openxmlformats.org/officeDocument/2006/relationships" name="LỖI NỘI DUNG" sheetId="6" state="visible" r:id="rId6"/>
    <sheet xmlns:r="http://schemas.openxmlformats.org/officeDocument/2006/relationships" name="TỔNG HỢ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26275D"/>
      <sz val="18"/>
    </font>
    <font>
      <name val="Arial"/>
      <i val="1"/>
      <color rgb="005A6B85"/>
      <sz val="11"/>
    </font>
    <font>
      <name val="Arial"/>
      <b val="1"/>
      <color rgb="0026275D"/>
      <sz val="13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FFFFFF"/>
      <sz val="11"/>
    </font>
    <font>
      <name val="Arial"/>
      <i val="1"/>
      <color rgb="005A6B85"/>
      <sz val="10"/>
    </font>
    <font>
      <name val="Arial"/>
      <b val="1"/>
      <color rgb="0026275D"/>
      <sz val="15"/>
    </font>
    <font>
      <name val="Arial"/>
      <color rgb="00000000"/>
      <sz val="10"/>
    </font>
    <font>
      <name val="Arial"/>
      <b val="1"/>
      <color rgb="0026275D"/>
      <sz val="12"/>
    </font>
    <font>
      <name val="Arial"/>
      <i val="1"/>
      <color rgb="008A97AC"/>
      <sz val="10"/>
    </font>
  </fonts>
  <fills count="6">
    <fill>
      <patternFill/>
    </fill>
    <fill>
      <patternFill patternType="gray125"/>
    </fill>
    <fill>
      <patternFill patternType="solid">
        <fgColor rgb="0026275D"/>
      </patternFill>
    </fill>
    <fill>
      <patternFill patternType="solid">
        <fgColor rgb="00F9DD0E"/>
      </patternFill>
    </fill>
    <fill>
      <patternFill patternType="solid">
        <fgColor rgb="00F1F4F9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C9D3E3"/>
      </left>
      <right style="thin">
        <color rgb="00C9D3E3"/>
      </right>
      <top style="thin">
        <color rgb="00C9D3E3"/>
      </top>
      <bottom style="thin">
        <color rgb="00C9D3E3"/>
      </bottom>
    </border>
    <border>
      <left/>
      <right/>
      <top style="thin">
        <color rgb="00C9D3E3"/>
      </top>
      <bottom/>
      <diagonal/>
    </border>
    <border>
      <left/>
      <right style="thin">
        <color rgb="00C9D3E3"/>
      </right>
      <top style="thin">
        <color rgb="00C9D3E3"/>
      </top>
      <bottom/>
      <diagonal/>
    </border>
    <border>
      <left/>
      <right style="thin">
        <color rgb="00C9D3E3"/>
      </right>
      <top style="thin">
        <color rgb="00C9D3E3"/>
      </top>
      <bottom style="thin">
        <color rgb="00C9D3E3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10" fillId="0" borderId="0" pivotButton="0" quotePrefix="0" xfId="0"/>
    <xf numFmtId="0" fontId="0" fillId="5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88" customWidth="1" min="3" max="3"/>
    <col width="24" customWidth="1" min="4" max="4"/>
  </cols>
  <sheetData>
    <row r="2" ht="26" customHeight="1">
      <c r="B2" s="1" t="inlineStr">
        <is>
          <t>PHIẾU TRẢI NGHIỆM AI TUTOR — TRƯỜNG VIỆT ANH</t>
        </is>
      </c>
    </row>
    <row r="3">
      <c r="B3" s="2" t="inlineStr">
        <is>
          <t>Mỗi người chạy TRỌN một lượt từ đầu đến cuối, không chia phần.</t>
        </is>
      </c>
    </row>
    <row r="5" ht="22" customHeight="1">
      <c r="B5" s="3" t="inlineStr">
        <is>
          <t>Việc của bạn</t>
        </is>
      </c>
    </row>
    <row r="6">
      <c r="B6" s="4" t="inlineStr">
        <is>
          <t>Thời gian</t>
        </is>
      </c>
      <c r="C6" s="5" t="inlineStr">
        <is>
          <t>Khoảng 40–60 phút. Làm liền một mạch nếu được, đừng chia nhiều ngày.</t>
        </is>
      </c>
    </row>
    <row r="7">
      <c r="B7" s="4" t="inlineStr">
        <is>
          <t>Cách làm</t>
        </is>
      </c>
      <c r="C7" s="5" t="inlineStr">
        <is>
          <t>Mở sheet mang tên bạn (GV-1 / GV-2 / GV-3), làm theo từng bước ở cột B, đánh kết quả ở cột C.</t>
        </is>
      </c>
    </row>
    <row r="8">
      <c r="B8" s="4" t="inlineStr">
        <is>
          <t>Quan trọng nhất</t>
        </is>
      </c>
      <c r="C8" s="5" t="inlineStr">
        <is>
          <t>Cột 'Ghi chú' — khi kết quả KHÔNG ĐẠT, hãy ghi rõ BẠN THẤY GÌ và BẠN MONG ĐỢI GÌ. Chỉ ghi 'chỗ này lạ' thì không sửa được.</t>
        </is>
      </c>
    </row>
    <row r="9">
      <c r="B9" s="4" t="inlineStr">
        <is>
          <t>Ảnh màn hình</t>
        </is>
      </c>
      <c r="C9" s="5" t="inlineStr">
        <is>
          <t>Chụp lại mọi chỗ vướng, tải lên thư mục Drive chung, dán link vào cột cuối. Một tấm ảnh bằng mười dòng mô tả.</t>
        </is>
      </c>
    </row>
    <row r="10">
      <c r="B10" s="4" t="inlineStr">
        <is>
          <t>Gặp lỗi thì làm gì</t>
        </is>
      </c>
      <c r="C10" s="5" t="inlineStr">
        <is>
          <t>Ghi lại rồi ĐI TIẾP, đừng dừng. Nếu lỗi chặn hẳn không đi tiếp được thì ghi 'Không làm được' và nhảy sang bước sau.</t>
        </is>
      </c>
    </row>
    <row r="12" ht="22" customHeight="1">
      <c r="B12" s="3" t="inlineStr">
        <is>
          <t>Ba sheet để điền</t>
        </is>
      </c>
    </row>
    <row r="13">
      <c r="B13" s="4" t="inlineStr">
        <is>
          <t>GV-1 / GV-2 / GV-3</t>
        </is>
      </c>
      <c r="C13" s="5" t="inlineStr">
        <is>
          <t>Sheet riêng của từng người. Ba sheet GIỐNG HỆT NHAU: cùng bước, cùng số thứ tự — để so được ba người với nhau.</t>
        </is>
      </c>
    </row>
    <row r="14">
      <c r="B14" s="4" t="inlineStr">
        <is>
          <t>LỖI NỘI DUNG</t>
        </is>
      </c>
      <c r="C14" s="5" t="inlineStr">
        <is>
          <t>Sheet DÙNG CHUNG. Ghi vào đây khi lỗi nằm ở NỘI DUNG câu hỏi: sai kiến thức, lộ đáp án, đề khó hiểu, sai chính tả.</t>
        </is>
      </c>
    </row>
    <row r="15">
      <c r="B15" s="4" t="inlineStr">
        <is>
          <t>Vì sao tách ra</t>
        </is>
      </c>
      <c r="C15" s="5" t="inlineStr">
        <is>
          <t>Lỗi giao diện sửa bằng code; lỗi nội dung sửa bằng cách sửa câu hỏi trong kho. Hai việc khác hẳn nhau.</t>
        </is>
      </c>
    </row>
    <row r="17" ht="22" customHeight="1">
      <c r="B17" s="3" t="inlineStr">
        <is>
          <t>Cách gọi tên một câu hỏi</t>
        </is>
      </c>
    </row>
    <row r="18">
      <c r="B18" s="4" t="inlineStr">
        <is>
          <t>Công thức</t>
        </is>
      </c>
      <c r="C18" s="5" t="inlineStr">
        <is>
          <t>Môn · tên bài · số câu.  Ví dụ: "Toán 10 · Mệnh đề và phủ định · câu 3/20"</t>
        </is>
      </c>
    </row>
    <row r="19">
      <c r="B19" s="4" t="inlineStr">
        <is>
          <t>Vì sao cần</t>
        </is>
      </c>
      <c r="C19" s="5" t="inlineStr">
        <is>
          <t>Kho có gần 1.900 câu. Ghi 'câu về tập hợp' thì không tìm ra câu nào.</t>
        </is>
      </c>
    </row>
    <row r="21" ht="22" customHeight="1">
      <c r="B21" s="3" t="inlineStr">
        <is>
          <t>Mức độ nghiêm trọng</t>
        </is>
      </c>
    </row>
    <row r="22">
      <c r="B22" s="4" t="inlineStr">
        <is>
          <t>Chặn</t>
        </is>
      </c>
      <c r="C22" s="5" t="inlineStr">
        <is>
          <t>Không học tiếp được. Ví dụ: bấm nộp bài thì báo lỗi, không vào được bài.</t>
        </is>
      </c>
    </row>
    <row r="23">
      <c r="B23" s="4" t="inlineStr">
        <is>
          <t>Nặng</t>
        </is>
      </c>
      <c r="C23" s="5" t="inlineStr">
        <is>
          <t>Đi tiếp được nhưng sai/khó chịu rõ. Ví dụ: công thức hiện sai, đáp án bị lộ.</t>
        </is>
      </c>
    </row>
    <row r="24">
      <c r="B24" s="4" t="inlineStr">
        <is>
          <t>Nhẹ</t>
        </is>
      </c>
      <c r="C24" s="5" t="inlineStr">
        <is>
          <t>Gợn mắt, không cản việc học. Ví dụ: chữ hơi sát nhau, màu chưa hợp.</t>
        </is>
      </c>
    </row>
    <row r="25">
      <c r="B25" s="4" t="inlineStr">
        <is>
          <t>Góp ý</t>
        </is>
      </c>
      <c r="C25" s="5" t="inlineStr">
        <is>
          <t>Không phải lỗi — ý tưởng làm cho tốt hơn.</t>
        </is>
      </c>
    </row>
    <row r="27" ht="22" customHeight="1">
      <c r="B27" s="3" t="inlineStr">
        <is>
          <t>Tài khoản của bạn — tự điền vào đây cho khỏi quên</t>
        </is>
      </c>
    </row>
    <row r="28">
      <c r="B28" s="6" t="inlineStr">
        <is>
          <t>Vai</t>
        </is>
      </c>
      <c r="C28" s="6" t="inlineStr">
        <is>
          <t>Email</t>
        </is>
      </c>
      <c r="D28" s="6" t="inlineStr">
        <is>
          <t>Mật khẩu</t>
        </is>
      </c>
    </row>
    <row r="29">
      <c r="B29" s="7" t="inlineStr">
        <is>
          <t>Học sinh</t>
        </is>
      </c>
      <c r="C29" s="8" t="n"/>
      <c r="D29" s="8" t="n"/>
    </row>
    <row r="30">
      <c r="B30" s="7" t="inlineStr">
        <is>
          <t>Phụ huynh</t>
        </is>
      </c>
      <c r="C30" s="8" t="n"/>
      <c r="D30" s="8" t="n"/>
    </row>
    <row r="31">
      <c r="B31" s="7" t="inlineStr">
        <is>
          <t>Giáo viên</t>
        </is>
      </c>
      <c r="C31" s="8" t="n"/>
      <c r="D31" s="8" t="n"/>
    </row>
    <row r="33">
      <c r="B33" s="9" t="inlineStr">
        <is>
          <t>Ô vàng là chỗ bạn điền.</t>
        </is>
      </c>
    </row>
  </sheetData>
  <mergeCells count="7">
    <mergeCell ref="B21:C21"/>
    <mergeCell ref="B2:C2"/>
    <mergeCell ref="B3:C3"/>
    <mergeCell ref="B5:C5"/>
    <mergeCell ref="B17:C17"/>
    <mergeCell ref="B27:C27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60" customWidth="1" min="3" max="3"/>
    <col width="70" customWidth="1" min="4" max="4"/>
  </cols>
  <sheetData>
    <row r="1">
      <c r="A1" s="10" t="inlineStr">
        <is>
          <t>KỊCH BẢN CHUẨN — 26 bước, ai cũng chạy y như nhau</t>
        </is>
      </c>
    </row>
    <row r="2">
      <c r="A2" s="9" t="inlineStr">
        <is>
          <t>Bảng này chỉ để ĐỌC. Đánh kết quả ở sheet mang tên bạn.</t>
        </is>
      </c>
    </row>
    <row r="4">
      <c r="A4" s="6" t="inlineStr">
        <is>
          <t>Bước</t>
        </is>
      </c>
      <c r="B4" s="6" t="inlineStr">
        <is>
          <t>Nhóm</t>
        </is>
      </c>
      <c r="C4" s="6" t="inlineStr">
        <is>
          <t>Việc cần làm</t>
        </is>
      </c>
      <c r="D4" s="6" t="inlineStr">
        <is>
          <t>Mong đợi thấy gì</t>
        </is>
      </c>
    </row>
    <row r="5" ht="30" customHeight="1">
      <c r="A5" s="11" t="n">
        <v>1</v>
      </c>
      <c r="B5" s="12" t="inlineStr">
        <is>
          <t>A. Chuẩn bị</t>
        </is>
      </c>
      <c r="C5" s="13" t="inlineStr">
        <is>
          <t>Đăng nhập tài khoản HỌC SINH của bạn, vào Học → chọn Toán 10</t>
        </is>
      </c>
      <c r="D5" s="13" t="inlineStr">
        <is>
          <t>Hiện lộ trình dấu chân, có một bài đang mở (dấu chân xanh đậm)</t>
        </is>
      </c>
    </row>
    <row r="6" ht="30" customHeight="1">
      <c r="A6" s="14" t="n">
        <v>2</v>
      </c>
      <c r="B6" s="15" t="inlineStr">
        <is>
          <t>A. Chuẩn bị</t>
        </is>
      </c>
      <c r="C6" s="16" t="inlineStr">
        <is>
          <t>Bấm vào bài đang học</t>
        </is>
      </c>
      <c r="D6" s="16" t="inlineStr">
        <is>
          <t>Vào được câu hỏi đầu tiên, không báo lỗi đỏ nào</t>
        </is>
      </c>
    </row>
    <row r="7" ht="30" customHeight="1">
      <c r="A7" s="11" t="n">
        <v>3</v>
      </c>
      <c r="B7" s="12" t="inlineStr">
        <is>
          <t>B. Đề bài &amp; công thức</t>
        </is>
      </c>
      <c r="C7" s="13" t="inlineStr">
        <is>
          <t>Đọc 5 câu đầu — soi kỹ mọi phân số</t>
        </is>
      </c>
      <c r="D7" s="13" t="inlineStr">
        <is>
          <t>Phân số phải là GẠCH NGANG (tử trên, mẫu dưới), KHÔNG được là dấu gạch chéo /</t>
        </is>
      </c>
    </row>
    <row r="8" ht="30" customHeight="1">
      <c r="A8" s="14" t="n">
        <v>4</v>
      </c>
      <c r="B8" s="15" t="inlineStr">
        <is>
          <t>B. Đề bài &amp; công thức</t>
        </is>
      </c>
      <c r="C8" s="16" t="inlineStr">
        <is>
          <t>Gặp câu có công thức dài (có phân số)</t>
        </is>
      </c>
      <c r="D8" s="16" t="inlineStr">
        <is>
          <t>Công thức đứng RIÊNG MỘT DÒNG, canh giữa, không nằm lẫn trong câu chữ</t>
        </is>
      </c>
    </row>
    <row r="9" ht="30" customHeight="1">
      <c r="A9" s="11" t="n">
        <v>5</v>
      </c>
      <c r="B9" s="12" t="inlineStr">
        <is>
          <t>B. Đề bài &amp; công thức</t>
        </is>
      </c>
      <c r="C9" s="13" t="inlineStr">
        <is>
          <t>Nhìn chữ cái đầu tiên của đề bài</t>
        </is>
      </c>
      <c r="D9" s="13" t="inlineStr">
        <is>
          <t>Viết hoa (trừ đề bắt đầu bằng biến toán như x², khi đó giữ nguyên là đúng)</t>
        </is>
      </c>
    </row>
    <row r="10" ht="30" customHeight="1">
      <c r="A10" s="14" t="n">
        <v>6</v>
      </c>
      <c r="B10" s="15" t="inlineStr">
        <is>
          <t>B. Đề bài &amp; công thức</t>
        </is>
      </c>
      <c r="C10" s="16" t="inlineStr">
        <is>
          <t>Gặp đề có x1, x2 (hai nghiệm) hoặc Q1, Q3</t>
        </is>
      </c>
      <c r="D10" s="16" t="inlineStr">
        <is>
          <t>Phải hiện thành x₁ x₂ / Q₁ Q₃ — số nhỏ nằm dưới, không phải x1 x2</t>
        </is>
      </c>
    </row>
    <row r="11" ht="30" customHeight="1">
      <c r="A11" s="11" t="n">
        <v>7</v>
      </c>
      <c r="B11" s="12" t="inlineStr">
        <is>
          <t>C. Lưới đáp án</t>
        </is>
      </c>
      <c r="C11" s="13" t="inlineStr">
        <is>
          <t>Gặp câu 4 phương án NGẮN (Elip, Parabol…)</t>
        </is>
      </c>
      <c r="D11" s="13" t="inlineStr">
        <is>
          <t>Xếp 2 hàng × 2 cột cân đối, bốn ô cao bằng nhau — không 3 ô một hàng rồi 1 ô lẻ</t>
        </is>
      </c>
    </row>
    <row r="12" ht="30" customHeight="1">
      <c r="A12" s="14" t="n">
        <v>8</v>
      </c>
      <c r="B12" s="15" t="inlineStr">
        <is>
          <t>C. Lưới đáp án</t>
        </is>
      </c>
      <c r="C12" s="16" t="inlineStr">
        <is>
          <t>Gặp câu phương án DÀI (cả một mệnh đề)</t>
        </is>
      </c>
      <c r="D12" s="16" t="inlineStr">
        <is>
          <t>Xếp 1 cột, chữ hiện đủ, không bị cắt cụt</t>
        </is>
      </c>
    </row>
    <row r="13" ht="30" customHeight="1">
      <c r="A13" s="11" t="n">
        <v>9</v>
      </c>
      <c r="B13" s="12" t="inlineStr">
        <is>
          <t>D. Làm bài</t>
        </is>
      </c>
      <c r="C13" s="13" t="inlineStr">
        <is>
          <t>Cố ý chọn SAI một câu trắc nghiệm</t>
        </is>
      </c>
      <c r="D13" s="13" t="inlineStr">
        <is>
          <t>Hiện 'Chưa đúng — thử lại nhé', bấm THỬ LẠI làm lại được, không mất lượt</t>
        </is>
      </c>
    </row>
    <row r="14" ht="30" customHeight="1">
      <c r="A14" s="14" t="n">
        <v>10</v>
      </c>
      <c r="B14" s="15" t="inlineStr">
        <is>
          <t>D. Làm bài</t>
        </is>
      </c>
      <c r="C14" s="16" t="inlineStr">
        <is>
          <t>Gặp câu 'ĐÚNG HAY SAI CHO TỪNG Ý', cố ý chọn sai một ý</t>
        </is>
      </c>
      <c r="D14" s="16" t="inlineStr">
        <is>
          <t>Sư tử hiện NGAY TRÊN câu nhắc; KHÔNG có bong bóng chat; KHÔNG thấy chuỗi kiểu 'a:dung,b:dung,c:dung'</t>
        </is>
      </c>
    </row>
    <row r="15" ht="30" customHeight="1">
      <c r="A15" s="11" t="n">
        <v>11</v>
      </c>
      <c r="B15" s="12" t="inlineStr">
        <is>
          <t>D. Làm bài</t>
        </is>
      </c>
      <c r="C15" s="13" t="inlineStr">
        <is>
          <t>Ở câu đó bấm THỬ LẠI rồi cuộn xuống ý cuối cùng</t>
        </is>
      </c>
      <c r="D15" s="13" t="inlineStr">
        <is>
          <t>Nhìn thấy đủ 4 ý; thanh đáy KHÔNG che mất ý cuối</t>
        </is>
      </c>
    </row>
    <row r="16" ht="30" customHeight="1">
      <c r="A16" s="14" t="n">
        <v>12</v>
      </c>
      <c r="B16" s="15" t="inlineStr">
        <is>
          <t>D. Làm bài</t>
        </is>
      </c>
      <c r="C16" s="16" t="inlineStr">
        <is>
          <t>Gặp câu gõ đáp án, thử gõ một đoạn dài 3–4 dòng</t>
        </is>
      </c>
      <c r="D16" s="16" t="inlineStr">
        <is>
          <t>Ô nhập TỰ CAO DẦN theo chữ, thấy được hết đoạn đang gõ</t>
        </is>
      </c>
    </row>
    <row r="17" ht="30" customHeight="1">
      <c r="A17" s="11" t="n">
        <v>13</v>
      </c>
      <c r="B17" s="12" t="inlineStr">
        <is>
          <t>E. Nộp bài</t>
        </is>
      </c>
      <c r="C17" s="13" t="inlineStr">
        <is>
          <t>Gặp câu có nhãn 'LÀM RA GIẤY RỒI NỘP BÀI'</t>
        </is>
      </c>
      <c r="D17" s="13" t="inlineStr">
        <is>
          <t>Hiện hướng dẫn + ô chọn tệp viền đứt nét, KHÔNG bắt gõ cả đoạn vào ô</t>
        </is>
      </c>
    </row>
    <row r="18" ht="30" customHeight="1">
      <c r="A18" s="14" t="n">
        <v>14</v>
      </c>
      <c r="B18" s="15" t="inlineStr">
        <is>
          <t>E. Nộp bài</t>
        </is>
      </c>
      <c r="C18" s="16" t="inlineStr">
        <is>
          <t>Chọn một ảnh bất kỳ trong máy (giả làm bài đã chụp)</t>
        </is>
      </c>
      <c r="D18" s="16" t="inlineStr">
        <is>
          <t>Tên tệp và dung lượng hiện ra, nút NỘP BÀI sáng lên</t>
        </is>
      </c>
    </row>
    <row r="19" ht="30" customHeight="1">
      <c r="A19" s="11" t="n">
        <v>15</v>
      </c>
      <c r="B19" s="12" t="inlineStr">
        <is>
          <t>E. Nộp bài</t>
        </is>
      </c>
      <c r="C19" s="13" t="inlineStr">
        <is>
          <t>Bấm NỘP BÀI</t>
        </is>
      </c>
      <c r="D19" s="13" t="inlineStr">
        <is>
          <t>Sư tử reo 'Đã nộp bài — thầy cô sẽ chấm sau', kèm câu 'Chưa tính là làm chủ bài này'</t>
        </is>
      </c>
    </row>
    <row r="20" ht="30" customHeight="1">
      <c r="A20" s="14" t="n">
        <v>16</v>
      </c>
      <c r="B20" s="15" t="inlineStr">
        <is>
          <t>E. Nộp bài</t>
        </is>
      </c>
      <c r="C20" s="16" t="inlineStr">
        <is>
          <t>Bấm HỌC TIẾP</t>
        </is>
      </c>
      <c r="D20" s="16" t="inlineStr">
        <is>
          <t>Sang câu kế bình thường, không kẹt, không mất tiến độ</t>
        </is>
      </c>
    </row>
    <row r="21" ht="30" customHeight="1">
      <c r="A21" s="11" t="n">
        <v>17</v>
      </c>
      <c r="B21" s="12" t="inlineStr">
        <is>
          <t>F. Giáo viên chấm</t>
        </is>
      </c>
      <c r="C21" s="13" t="inlineStr">
        <is>
          <t>Đăng xuất, đăng nhập tài khoản GIÁO VIÊN của bạn</t>
        </is>
      </c>
      <c r="D21" s="13" t="inlineStr">
        <is>
          <t>Vào được trang giáo viên (/teacher), không bị chặn quyền</t>
        </is>
      </c>
    </row>
    <row r="22" ht="30" customHeight="1">
      <c r="A22" s="14" t="n">
        <v>18</v>
      </c>
      <c r="B22" s="15" t="inlineStr">
        <is>
          <t>F. Giáo viên chấm</t>
        </is>
      </c>
      <c r="C22" s="16" t="inlineStr">
        <is>
          <t>Mở tab 'Chấm bài'</t>
        </is>
      </c>
      <c r="D22" s="16" t="inlineStr">
        <is>
          <t>Thấy bài vừa nộp, ĐÚNG tên học sinh của bạn, đúng tên bài</t>
        </is>
      </c>
    </row>
    <row r="23" ht="30" customHeight="1">
      <c r="A23" s="11" t="n">
        <v>19</v>
      </c>
      <c r="B23" s="12" t="inlineStr">
        <is>
          <t>F. Giáo viên chấm</t>
        </is>
      </c>
      <c r="C23" s="13" t="inlineStr">
        <is>
          <t>Bấm 'Xem bài'</t>
        </is>
      </c>
      <c r="D23" s="13" t="inlineStr">
        <is>
          <t>Ảnh mở ra ở tab mới, đúng ảnh vừa nộp (không phải ảnh người khác)</t>
        </is>
      </c>
    </row>
    <row r="24" ht="30" customHeight="1">
      <c r="A24" s="14" t="n">
        <v>20</v>
      </c>
      <c r="B24" s="15" t="inlineStr">
        <is>
          <t>F. Giáo viên chấm</t>
        </is>
      </c>
      <c r="C24" s="16" t="inlineStr">
        <is>
          <t>Gõ lời nhắn rồi bấm 'Cho làm lại'</t>
        </is>
      </c>
      <c r="D24" s="16" t="inlineStr">
        <is>
          <t>Bài biến khỏi danh sách chờ chấm, chuyển sang mục 'Đã trả về'</t>
        </is>
      </c>
    </row>
    <row r="25" ht="30" customHeight="1">
      <c r="A25" s="11" t="n">
        <v>21</v>
      </c>
      <c r="B25" s="12" t="inlineStr">
        <is>
          <t>G. Quay lại học sinh</t>
        </is>
      </c>
      <c r="C25" s="13" t="inlineStr">
        <is>
          <t>Đăng nhập lại tài khoản HỌC SINH, mở lộ trình</t>
        </is>
      </c>
      <c r="D25" s="13" t="inlineStr">
        <is>
          <t>Đầu trang hiện băng đỏ 'Thầy cô đã chấm — 1 bài cần làm lại', kèm tên bài</t>
        </is>
      </c>
    </row>
    <row r="26" ht="30" customHeight="1">
      <c r="A26" s="14" t="n">
        <v>22</v>
      </c>
      <c r="B26" s="15" t="inlineStr">
        <is>
          <t>G. Quay lại học sinh</t>
        </is>
      </c>
      <c r="C26" s="16" t="inlineStr">
        <is>
          <t>Nhìn dấu chân của bài đó trên lộ trình</t>
        </is>
      </c>
      <c r="D26" s="16" t="inlineStr">
        <is>
          <t>Bàn chân chuyển màu ĐỎ, bấm vào vẫn vào được (không bị khoá)</t>
        </is>
      </c>
    </row>
    <row r="27" ht="30" customHeight="1">
      <c r="A27" s="11" t="n">
        <v>23</v>
      </c>
      <c r="B27" s="12" t="inlineStr">
        <is>
          <t>G. Quay lại học sinh</t>
        </is>
      </c>
      <c r="C27" s="13" t="inlineStr">
        <is>
          <t>Vào lại bài đó, nộp một ảnh khác, rồi tải lại trang lộ trình</t>
        </is>
      </c>
      <c r="D27" s="13" t="inlineStr">
        <is>
          <t>Dấu đỏ TẮT, băng báo biến mất</t>
        </is>
      </c>
    </row>
    <row r="28" ht="30" customHeight="1">
      <c r="A28" s="14" t="n">
        <v>24</v>
      </c>
      <c r="B28" s="15" t="inlineStr">
        <is>
          <t>H. Chấm đạt &amp; phụ huynh</t>
        </is>
      </c>
      <c r="C28" s="16" t="inlineStr">
        <is>
          <t>Giáo viên: vào tab Chấm bài, bấm 'Đạt' cho bài mới nộp</t>
        </is>
      </c>
      <c r="D28" s="16" t="inlineStr">
        <is>
          <t>Bài chuyển sang mục 'Đã đạt'</t>
        </is>
      </c>
    </row>
    <row r="29" ht="30" customHeight="1">
      <c r="A29" s="11" t="n">
        <v>25</v>
      </c>
      <c r="B29" s="12" t="inlineStr">
        <is>
          <t>H. Chấm đạt &amp; phụ huynh</t>
        </is>
      </c>
      <c r="C29" s="13" t="inlineStr">
        <is>
          <t>Học sinh: mở lại app xem điểm XP / trạng thái bài</t>
        </is>
      </c>
      <c r="D29" s="13" t="inlineStr">
        <is>
          <t>XP tăng, bài không còn ở trạng thái phải làm lại</t>
        </is>
      </c>
    </row>
    <row r="30" ht="30" customHeight="1">
      <c r="A30" s="14" t="n">
        <v>26</v>
      </c>
      <c r="B30" s="15" t="inlineStr">
        <is>
          <t>H. Chấm đạt &amp; phụ huynh</t>
        </is>
      </c>
      <c r="C30" s="16" t="inlineStr">
        <is>
          <t>Đăng nhập tài khoản PHỤ HUYNH của bạn</t>
        </is>
      </c>
      <c r="D30" s="16" t="inlineStr">
        <is>
          <t>Thấy báo cáo của ĐÚNG con mình: số điểm đã thành thạo, số điểm đang luyện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5" customWidth="1" min="3" max="3"/>
    <col width="52" customWidth="1" min="4" max="4"/>
    <col width="16" customWidth="1" min="5" max="5"/>
    <col width="26" customWidth="1" min="6" max="6"/>
  </cols>
  <sheetData>
    <row r="1">
      <c r="A1" s="10" t="inlineStr">
        <is>
          <t>PHIẾU TRẢI NGHIỆM — GV-1</t>
        </is>
      </c>
    </row>
    <row r="3">
      <c r="A3" s="17" t="inlineStr">
        <is>
          <t>Người thực hiện</t>
        </is>
      </c>
      <c r="C3" s="8" t="n"/>
      <c r="D3" s="18" t="n"/>
      <c r="E3" s="9" t="inlineStr">
        <is>
          <t>Ví dụ thiết bị: iPhone 13 · Safari  /  Laptop Dell · Chrome</t>
        </is>
      </c>
    </row>
    <row r="4">
      <c r="A4" s="17" t="inlineStr">
        <is>
          <t>Thiết bị + trình duyệt</t>
        </is>
      </c>
      <c r="C4" s="8" t="n"/>
      <c r="D4" s="18" t="n"/>
    </row>
    <row r="5">
      <c r="A5" s="17" t="inlineStr">
        <is>
          <t>Ngày test</t>
        </is>
      </c>
      <c r="C5" s="8" t="n"/>
      <c r="D5" s="18" t="n"/>
    </row>
    <row r="7">
      <c r="A7" s="19" t="inlineStr">
        <is>
          <t>PHẦN 1 — CHẠY THEO KỊCH BẢN (đánh kết quả từng bước)</t>
        </is>
      </c>
    </row>
    <row r="8">
      <c r="A8" s="6" t="inlineStr">
        <is>
          <t>Bước</t>
        </is>
      </c>
      <c r="B8" s="6" t="inlineStr">
        <is>
          <t>Việc cần làm</t>
        </is>
      </c>
      <c r="C8" s="6" t="inlineStr">
        <is>
          <t>Kết quả</t>
        </is>
      </c>
      <c r="D8" s="6" t="inlineStr">
        <is>
          <t>Ghi chú: thấy gì / mong đợi gì</t>
        </is>
      </c>
      <c r="E8" s="6" t="inlineStr">
        <is>
          <t>Mức độ</t>
        </is>
      </c>
      <c r="F8" s="6" t="inlineStr">
        <is>
          <t>Link ảnh</t>
        </is>
      </c>
    </row>
    <row r="9" ht="30" customHeight="1">
      <c r="A9" s="11" t="n">
        <v>1</v>
      </c>
      <c r="B9" s="13" t="inlineStr">
        <is>
          <t>Đăng nhập tài khoản HỌC SINH của bạn, vào Học → chọn Toán 10</t>
        </is>
      </c>
      <c r="C9" s="20" t="n"/>
      <c r="D9" s="20" t="n"/>
      <c r="E9" s="20" t="n"/>
      <c r="F9" s="20" t="n"/>
    </row>
    <row r="10" ht="30" customHeight="1">
      <c r="A10" s="14" t="n">
        <v>2</v>
      </c>
      <c r="B10" s="16" t="inlineStr">
        <is>
          <t>Bấm vào bài đang học</t>
        </is>
      </c>
      <c r="C10" s="20" t="n"/>
      <c r="D10" s="20" t="n"/>
      <c r="E10" s="20" t="n"/>
      <c r="F10" s="20" t="n"/>
    </row>
    <row r="11" ht="30" customHeight="1">
      <c r="A11" s="11" t="n">
        <v>3</v>
      </c>
      <c r="B11" s="13" t="inlineStr">
        <is>
          <t>Đọc 5 câu đầu — soi kỹ mọi phân số</t>
        </is>
      </c>
      <c r="C11" s="20" t="n"/>
      <c r="D11" s="20" t="n"/>
      <c r="E11" s="20" t="n"/>
      <c r="F11" s="20" t="n"/>
    </row>
    <row r="12" ht="30" customHeight="1">
      <c r="A12" s="14" t="n">
        <v>4</v>
      </c>
      <c r="B12" s="16" t="inlineStr">
        <is>
          <t>Gặp câu có công thức dài (có phân số)</t>
        </is>
      </c>
      <c r="C12" s="20" t="n"/>
      <c r="D12" s="20" t="n"/>
      <c r="E12" s="20" t="n"/>
      <c r="F12" s="20" t="n"/>
    </row>
    <row r="13" ht="30" customHeight="1">
      <c r="A13" s="11" t="n">
        <v>5</v>
      </c>
      <c r="B13" s="13" t="inlineStr">
        <is>
          <t>Nhìn chữ cái đầu tiên của đề bài</t>
        </is>
      </c>
      <c r="C13" s="20" t="n"/>
      <c r="D13" s="20" t="n"/>
      <c r="E13" s="20" t="n"/>
      <c r="F13" s="20" t="n"/>
    </row>
    <row r="14" ht="30" customHeight="1">
      <c r="A14" s="14" t="n">
        <v>6</v>
      </c>
      <c r="B14" s="16" t="inlineStr">
        <is>
          <t>Gặp đề có x1, x2 (hai nghiệm) hoặc Q1, Q3</t>
        </is>
      </c>
      <c r="C14" s="20" t="n"/>
      <c r="D14" s="20" t="n"/>
      <c r="E14" s="20" t="n"/>
      <c r="F14" s="20" t="n"/>
    </row>
    <row r="15" ht="30" customHeight="1">
      <c r="A15" s="11" t="n">
        <v>7</v>
      </c>
      <c r="B15" s="13" t="inlineStr">
        <is>
          <t>Gặp câu 4 phương án NGẮN (Elip, Parabol…)</t>
        </is>
      </c>
      <c r="C15" s="20" t="n"/>
      <c r="D15" s="20" t="n"/>
      <c r="E15" s="20" t="n"/>
      <c r="F15" s="20" t="n"/>
    </row>
    <row r="16" ht="30" customHeight="1">
      <c r="A16" s="14" t="n">
        <v>8</v>
      </c>
      <c r="B16" s="16" t="inlineStr">
        <is>
          <t>Gặp câu phương án DÀI (cả một mệnh đề)</t>
        </is>
      </c>
      <c r="C16" s="20" t="n"/>
      <c r="D16" s="20" t="n"/>
      <c r="E16" s="20" t="n"/>
      <c r="F16" s="20" t="n"/>
    </row>
    <row r="17" ht="30" customHeight="1">
      <c r="A17" s="11" t="n">
        <v>9</v>
      </c>
      <c r="B17" s="13" t="inlineStr">
        <is>
          <t>Cố ý chọn SAI một câu trắc nghiệm</t>
        </is>
      </c>
      <c r="C17" s="20" t="n"/>
      <c r="D17" s="20" t="n"/>
      <c r="E17" s="20" t="n"/>
      <c r="F17" s="20" t="n"/>
    </row>
    <row r="18" ht="30" customHeight="1">
      <c r="A18" s="14" t="n">
        <v>10</v>
      </c>
      <c r="B18" s="16" t="inlineStr">
        <is>
          <t>Gặp câu 'ĐÚNG HAY SAI CHO TỪNG Ý', cố ý chọn sai một ý</t>
        </is>
      </c>
      <c r="C18" s="20" t="n"/>
      <c r="D18" s="20" t="n"/>
      <c r="E18" s="20" t="n"/>
      <c r="F18" s="20" t="n"/>
    </row>
    <row r="19" ht="30" customHeight="1">
      <c r="A19" s="11" t="n">
        <v>11</v>
      </c>
      <c r="B19" s="13" t="inlineStr">
        <is>
          <t>Ở câu đó bấm THỬ LẠI rồi cuộn xuống ý cuối cùng</t>
        </is>
      </c>
      <c r="C19" s="20" t="n"/>
      <c r="D19" s="20" t="n"/>
      <c r="E19" s="20" t="n"/>
      <c r="F19" s="20" t="n"/>
    </row>
    <row r="20" ht="30" customHeight="1">
      <c r="A20" s="14" t="n">
        <v>12</v>
      </c>
      <c r="B20" s="16" t="inlineStr">
        <is>
          <t>Gặp câu gõ đáp án, thử gõ một đoạn dài 3–4 dòng</t>
        </is>
      </c>
      <c r="C20" s="20" t="n"/>
      <c r="D20" s="20" t="n"/>
      <c r="E20" s="20" t="n"/>
      <c r="F20" s="20" t="n"/>
    </row>
    <row r="21" ht="30" customHeight="1">
      <c r="A21" s="11" t="n">
        <v>13</v>
      </c>
      <c r="B21" s="13" t="inlineStr">
        <is>
          <t>Gặp câu có nhãn 'LÀM RA GIẤY RỒI NỘP BÀI'</t>
        </is>
      </c>
      <c r="C21" s="20" t="n"/>
      <c r="D21" s="20" t="n"/>
      <c r="E21" s="20" t="n"/>
      <c r="F21" s="20" t="n"/>
    </row>
    <row r="22" ht="30" customHeight="1">
      <c r="A22" s="14" t="n">
        <v>14</v>
      </c>
      <c r="B22" s="16" t="inlineStr">
        <is>
          <t>Chọn một ảnh bất kỳ trong máy (giả làm bài đã chụp)</t>
        </is>
      </c>
      <c r="C22" s="20" t="n"/>
      <c r="D22" s="20" t="n"/>
      <c r="E22" s="20" t="n"/>
      <c r="F22" s="20" t="n"/>
    </row>
    <row r="23" ht="30" customHeight="1">
      <c r="A23" s="11" t="n">
        <v>15</v>
      </c>
      <c r="B23" s="13" t="inlineStr">
        <is>
          <t>Bấm NỘP BÀI</t>
        </is>
      </c>
      <c r="C23" s="20" t="n"/>
      <c r="D23" s="20" t="n"/>
      <c r="E23" s="20" t="n"/>
      <c r="F23" s="20" t="n"/>
    </row>
    <row r="24" ht="30" customHeight="1">
      <c r="A24" s="14" t="n">
        <v>16</v>
      </c>
      <c r="B24" s="16" t="inlineStr">
        <is>
          <t>Bấm HỌC TIẾP</t>
        </is>
      </c>
      <c r="C24" s="20" t="n"/>
      <c r="D24" s="20" t="n"/>
      <c r="E24" s="20" t="n"/>
      <c r="F24" s="20" t="n"/>
    </row>
    <row r="25" ht="30" customHeight="1">
      <c r="A25" s="11" t="n">
        <v>17</v>
      </c>
      <c r="B25" s="13" t="inlineStr">
        <is>
          <t>Đăng xuất, đăng nhập tài khoản GIÁO VIÊN của bạn</t>
        </is>
      </c>
      <c r="C25" s="20" t="n"/>
      <c r="D25" s="20" t="n"/>
      <c r="E25" s="20" t="n"/>
      <c r="F25" s="20" t="n"/>
    </row>
    <row r="26" ht="30" customHeight="1">
      <c r="A26" s="14" t="n">
        <v>18</v>
      </c>
      <c r="B26" s="16" t="inlineStr">
        <is>
          <t>Mở tab 'Chấm bài'</t>
        </is>
      </c>
      <c r="C26" s="20" t="n"/>
      <c r="D26" s="20" t="n"/>
      <c r="E26" s="20" t="n"/>
      <c r="F26" s="20" t="n"/>
    </row>
    <row r="27" ht="30" customHeight="1">
      <c r="A27" s="11" t="n">
        <v>19</v>
      </c>
      <c r="B27" s="13" t="inlineStr">
        <is>
          <t>Bấm 'Xem bài'</t>
        </is>
      </c>
      <c r="C27" s="20" t="n"/>
      <c r="D27" s="20" t="n"/>
      <c r="E27" s="20" t="n"/>
      <c r="F27" s="20" t="n"/>
    </row>
    <row r="28" ht="30" customHeight="1">
      <c r="A28" s="14" t="n">
        <v>20</v>
      </c>
      <c r="B28" s="16" t="inlineStr">
        <is>
          <t>Gõ lời nhắn rồi bấm 'Cho làm lại'</t>
        </is>
      </c>
      <c r="C28" s="20" t="n"/>
      <c r="D28" s="20" t="n"/>
      <c r="E28" s="20" t="n"/>
      <c r="F28" s="20" t="n"/>
    </row>
    <row r="29" ht="30" customHeight="1">
      <c r="A29" s="11" t="n">
        <v>21</v>
      </c>
      <c r="B29" s="13" t="inlineStr">
        <is>
          <t>Đăng nhập lại tài khoản HỌC SINH, mở lộ trình</t>
        </is>
      </c>
      <c r="C29" s="20" t="n"/>
      <c r="D29" s="20" t="n"/>
      <c r="E29" s="20" t="n"/>
      <c r="F29" s="20" t="n"/>
    </row>
    <row r="30" ht="30" customHeight="1">
      <c r="A30" s="14" t="n">
        <v>22</v>
      </c>
      <c r="B30" s="16" t="inlineStr">
        <is>
          <t>Nhìn dấu chân của bài đó trên lộ trình</t>
        </is>
      </c>
      <c r="C30" s="20" t="n"/>
      <c r="D30" s="20" t="n"/>
      <c r="E30" s="20" t="n"/>
      <c r="F30" s="20" t="n"/>
    </row>
    <row r="31" ht="30" customHeight="1">
      <c r="A31" s="11" t="n">
        <v>23</v>
      </c>
      <c r="B31" s="13" t="inlineStr">
        <is>
          <t>Vào lại bài đó, nộp một ảnh khác, rồi tải lại trang lộ trình</t>
        </is>
      </c>
      <c r="C31" s="20" t="n"/>
      <c r="D31" s="20" t="n"/>
      <c r="E31" s="20" t="n"/>
      <c r="F31" s="20" t="n"/>
    </row>
    <row r="32" ht="30" customHeight="1">
      <c r="A32" s="14" t="n">
        <v>24</v>
      </c>
      <c r="B32" s="16" t="inlineStr">
        <is>
          <t>Giáo viên: vào tab Chấm bài, bấm 'Đạt' cho bài mới nộp</t>
        </is>
      </c>
      <c r="C32" s="20" t="n"/>
      <c r="D32" s="20" t="n"/>
      <c r="E32" s="20" t="n"/>
      <c r="F32" s="20" t="n"/>
    </row>
    <row r="33" ht="30" customHeight="1">
      <c r="A33" s="11" t="n">
        <v>25</v>
      </c>
      <c r="B33" s="13" t="inlineStr">
        <is>
          <t>Học sinh: mở lại app xem điểm XP / trạng thái bài</t>
        </is>
      </c>
      <c r="C33" s="20" t="n"/>
      <c r="D33" s="20" t="n"/>
      <c r="E33" s="20" t="n"/>
      <c r="F33" s="20" t="n"/>
    </row>
    <row r="34" ht="30" customHeight="1">
      <c r="A34" s="14" t="n">
        <v>26</v>
      </c>
      <c r="B34" s="16" t="inlineStr">
        <is>
          <t>Đăng nhập tài khoản PHỤ HUYNH của bạn</t>
        </is>
      </c>
      <c r="C34" s="20" t="n"/>
      <c r="D34" s="20" t="n"/>
      <c r="E34" s="20" t="n"/>
      <c r="F34" s="20" t="n"/>
    </row>
    <row r="36">
      <c r="A36" s="19" t="inlineStr">
        <is>
          <t>PHẦN 2 — QUAN SÁT THÊM (mọi thứ khác bạn thấy, không có trong kịch bản)</t>
        </is>
      </c>
    </row>
    <row r="37">
      <c r="A37" s="6" t="inlineStr">
        <is>
          <t>Màn hình</t>
        </is>
      </c>
      <c r="B37" s="6" t="inlineStr">
        <is>
          <t>Thao tác của bạn</t>
        </is>
      </c>
      <c r="C37" s="6" t="inlineStr">
        <is>
          <t>Thấy gì</t>
        </is>
      </c>
      <c r="D37" s="6" t="inlineStr">
        <is>
          <t>Mong đợi gì</t>
        </is>
      </c>
      <c r="E37" s="6" t="inlineStr">
        <is>
          <t>Mức độ</t>
        </is>
      </c>
      <c r="F37" s="6" t="inlineStr">
        <is>
          <t>Link ảnh</t>
        </is>
      </c>
    </row>
    <row r="38" ht="30" customHeight="1">
      <c r="A38" s="21" t="inlineStr">
        <is>
          <t>Bài học — câu 7/20</t>
        </is>
      </c>
      <c r="B38" s="21" t="inlineStr">
        <is>
          <t>Bấm THỬ LẠI sau khi sai</t>
        </is>
      </c>
      <c r="C38" s="21" t="inlineStr">
        <is>
          <t>Nút nhảy lên trên, phải cuộn xuống mới thấy đáp án</t>
        </is>
      </c>
      <c r="D38" s="21" t="inlineStr">
        <is>
          <t>Ở nguyên chỗ cũ để bấm tiếp</t>
        </is>
      </c>
      <c r="E38" s="21" t="inlineStr">
        <is>
          <t>Nhẹ</t>
        </is>
      </c>
      <c r="F38" s="21" t="inlineStr">
        <is>
          <t>(dán link ảnh)</t>
        </is>
      </c>
    </row>
    <row r="39" ht="26" customHeight="1">
      <c r="A39" s="22" t="n"/>
      <c r="B39" s="22" t="n"/>
      <c r="C39" s="22" t="n"/>
      <c r="D39" s="22" t="n"/>
      <c r="E39" s="22" t="n"/>
      <c r="F39" s="22" t="n"/>
    </row>
    <row r="40" ht="26" customHeight="1">
      <c r="A40" s="22" t="n"/>
      <c r="B40" s="22" t="n"/>
      <c r="C40" s="22" t="n"/>
      <c r="D40" s="22" t="n"/>
      <c r="E40" s="22" t="n"/>
      <c r="F40" s="22" t="n"/>
    </row>
    <row r="41" ht="26" customHeight="1">
      <c r="A41" s="22" t="n"/>
      <c r="B41" s="22" t="n"/>
      <c r="C41" s="22" t="n"/>
      <c r="D41" s="22" t="n"/>
      <c r="E41" s="22" t="n"/>
      <c r="F41" s="22" t="n"/>
    </row>
    <row r="42" ht="26" customHeight="1">
      <c r="A42" s="22" t="n"/>
      <c r="B42" s="22" t="n"/>
      <c r="C42" s="22" t="n"/>
      <c r="D42" s="22" t="n"/>
      <c r="E42" s="22" t="n"/>
      <c r="F42" s="22" t="n"/>
    </row>
    <row r="43" ht="26" customHeight="1">
      <c r="A43" s="22" t="n"/>
      <c r="B43" s="22" t="n"/>
      <c r="C43" s="22" t="n"/>
      <c r="D43" s="22" t="n"/>
      <c r="E43" s="22" t="n"/>
      <c r="F43" s="22" t="n"/>
    </row>
    <row r="44" ht="26" customHeight="1">
      <c r="A44" s="22" t="n"/>
      <c r="B44" s="22" t="n"/>
      <c r="C44" s="22" t="n"/>
      <c r="D44" s="22" t="n"/>
      <c r="E44" s="22" t="n"/>
      <c r="F44" s="22" t="n"/>
    </row>
    <row r="45" ht="26" customHeight="1">
      <c r="A45" s="22" t="n"/>
      <c r="B45" s="22" t="n"/>
      <c r="C45" s="22" t="n"/>
      <c r="D45" s="22" t="n"/>
      <c r="E45" s="22" t="n"/>
      <c r="F45" s="22" t="n"/>
    </row>
    <row r="46" ht="26" customHeight="1">
      <c r="A46" s="22" t="n"/>
      <c r="B46" s="22" t="n"/>
      <c r="C46" s="22" t="n"/>
      <c r="D46" s="22" t="n"/>
      <c r="E46" s="22" t="n"/>
      <c r="F46" s="22" t="n"/>
    </row>
    <row r="47" ht="26" customHeight="1">
      <c r="A47" s="22" t="n"/>
      <c r="B47" s="22" t="n"/>
      <c r="C47" s="22" t="n"/>
      <c r="D47" s="22" t="n"/>
      <c r="E47" s="22" t="n"/>
      <c r="F47" s="22" t="n"/>
    </row>
    <row r="48" ht="26" customHeight="1">
      <c r="A48" s="22" t="n"/>
      <c r="B48" s="22" t="n"/>
      <c r="C48" s="22" t="n"/>
      <c r="D48" s="22" t="n"/>
      <c r="E48" s="22" t="n"/>
      <c r="F48" s="22" t="n"/>
    </row>
    <row r="49" ht="26" customHeight="1">
      <c r="A49" s="22" t="n"/>
      <c r="B49" s="22" t="n"/>
      <c r="C49" s="22" t="n"/>
      <c r="D49" s="22" t="n"/>
      <c r="E49" s="22" t="n"/>
      <c r="F49" s="22" t="n"/>
    </row>
    <row r="50" ht="26" customHeight="1">
      <c r="A50" s="22" t="n"/>
      <c r="B50" s="22" t="n"/>
      <c r="C50" s="22" t="n"/>
      <c r="D50" s="22" t="n"/>
      <c r="E50" s="22" t="n"/>
      <c r="F50" s="22" t="n"/>
    </row>
    <row r="51" ht="26" customHeight="1">
      <c r="A51" s="22" t="n"/>
      <c r="B51" s="22" t="n"/>
      <c r="C51" s="22" t="n"/>
      <c r="D51" s="22" t="n"/>
      <c r="E51" s="22" t="n"/>
      <c r="F51" s="22" t="n"/>
    </row>
    <row r="52" ht="26" customHeight="1">
      <c r="A52" s="22" t="n"/>
      <c r="B52" s="22" t="n"/>
      <c r="C52" s="22" t="n"/>
      <c r="D52" s="22" t="n"/>
      <c r="E52" s="22" t="n"/>
      <c r="F52" s="22" t="n"/>
    </row>
    <row r="53" ht="26" customHeight="1">
      <c r="A53" s="22" t="n"/>
      <c r="B53" s="22" t="n"/>
      <c r="C53" s="22" t="n"/>
      <c r="D53" s="22" t="n"/>
      <c r="E53" s="22" t="n"/>
      <c r="F53" s="22" t="n"/>
    </row>
    <row r="54" ht="26" customHeight="1">
      <c r="A54" s="22" t="n"/>
      <c r="B54" s="22" t="n"/>
      <c r="C54" s="22" t="n"/>
      <c r="D54" s="22" t="n"/>
      <c r="E54" s="22" t="n"/>
      <c r="F54" s="22" t="n"/>
    </row>
    <row r="55" ht="26" customHeight="1">
      <c r="A55" s="22" t="n"/>
      <c r="B55" s="22" t="n"/>
      <c r="C55" s="22" t="n"/>
      <c r="D55" s="22" t="n"/>
      <c r="E55" s="22" t="n"/>
      <c r="F55" s="22" t="n"/>
    </row>
    <row r="56" ht="26" customHeight="1">
      <c r="A56" s="22" t="n"/>
      <c r="B56" s="22" t="n"/>
      <c r="C56" s="22" t="n"/>
      <c r="D56" s="22" t="n"/>
      <c r="E56" s="22" t="n"/>
      <c r="F56" s="22" t="n"/>
    </row>
    <row r="57" ht="26" customHeight="1">
      <c r="A57" s="22" t="n"/>
      <c r="B57" s="22" t="n"/>
      <c r="C57" s="22" t="n"/>
      <c r="D57" s="22" t="n"/>
      <c r="E57" s="22" t="n"/>
      <c r="F57" s="22" t="n"/>
    </row>
    <row r="58" ht="26" customHeight="1">
      <c r="A58" s="22" t="n"/>
      <c r="B58" s="22" t="n"/>
      <c r="C58" s="22" t="n"/>
      <c r="D58" s="22" t="n"/>
      <c r="E58" s="22" t="n"/>
      <c r="F58" s="22" t="n"/>
    </row>
    <row r="59" ht="26" customHeight="1">
      <c r="A59" s="22" t="n"/>
      <c r="B59" s="22" t="n"/>
      <c r="C59" s="22" t="n"/>
      <c r="D59" s="22" t="n"/>
      <c r="E59" s="22" t="n"/>
      <c r="F59" s="22" t="n"/>
    </row>
    <row r="60" ht="26" customHeight="1">
      <c r="A60" s="22" t="n"/>
      <c r="B60" s="22" t="n"/>
      <c r="C60" s="22" t="n"/>
      <c r="D60" s="22" t="n"/>
      <c r="E60" s="22" t="n"/>
      <c r="F60" s="22" t="n"/>
    </row>
    <row r="61" ht="26" customHeight="1">
      <c r="A61" s="22" t="n"/>
      <c r="B61" s="22" t="n"/>
      <c r="C61" s="22" t="n"/>
      <c r="D61" s="22" t="n"/>
      <c r="E61" s="22" t="n"/>
      <c r="F61" s="22" t="n"/>
    </row>
    <row r="62" ht="26" customHeight="1">
      <c r="A62" s="22" t="n"/>
      <c r="B62" s="22" t="n"/>
      <c r="C62" s="22" t="n"/>
      <c r="D62" s="22" t="n"/>
      <c r="E62" s="22" t="n"/>
      <c r="F62" s="22" t="n"/>
    </row>
    <row r="63" ht="26" customHeight="1">
      <c r="A63" s="22" t="n"/>
      <c r="B63" s="22" t="n"/>
      <c r="C63" s="22" t="n"/>
      <c r="D63" s="22" t="n"/>
      <c r="E63" s="22" t="n"/>
      <c r="F63" s="22" t="n"/>
    </row>
  </sheetData>
  <mergeCells count="10">
    <mergeCell ref="A4:B4"/>
    <mergeCell ref="A7:F7"/>
    <mergeCell ref="A36:F36"/>
    <mergeCell ref="A1:F1"/>
    <mergeCell ref="C5:D5"/>
    <mergeCell ref="A5:B5"/>
    <mergeCell ref="C3:D3"/>
    <mergeCell ref="A3:B3"/>
    <mergeCell ref="E3:F3"/>
    <mergeCell ref="C4:D4"/>
  </mergeCells>
  <dataValidations count="3">
    <dataValidation sqref="C9:C34" showDropDown="0" showInputMessage="0" showErrorMessage="0" allowBlank="1" type="list">
      <formula1>"Đạt,Không đạt,Không làm được"</formula1>
    </dataValidation>
    <dataValidation sqref="E9:E34" showDropDown="0" showInputMessage="0" showErrorMessage="0" allowBlank="1" type="list">
      <formula1>"Chặn,Nặng,Nhẹ,Góp ý"</formula1>
    </dataValidation>
    <dataValidation sqref="E39:E63" showDropDown="0" showInputMessage="0" showErrorMessage="0" allowBlank="1" type="list">
      <formula1>"Chặn,Nặng,Nhẹ,Góp ý"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5" customWidth="1" min="3" max="3"/>
    <col width="52" customWidth="1" min="4" max="4"/>
    <col width="16" customWidth="1" min="5" max="5"/>
    <col width="26" customWidth="1" min="6" max="6"/>
  </cols>
  <sheetData>
    <row r="1">
      <c r="A1" s="10" t="inlineStr">
        <is>
          <t>PHIẾU TRẢI NGHIỆM — GV-2</t>
        </is>
      </c>
    </row>
    <row r="3">
      <c r="A3" s="17" t="inlineStr">
        <is>
          <t>Người thực hiện</t>
        </is>
      </c>
      <c r="C3" s="8" t="n"/>
      <c r="D3" s="18" t="n"/>
      <c r="E3" s="9" t="inlineStr">
        <is>
          <t>Ví dụ thiết bị: iPhone 13 · Safari  /  Laptop Dell · Chrome</t>
        </is>
      </c>
    </row>
    <row r="4">
      <c r="A4" s="17" t="inlineStr">
        <is>
          <t>Thiết bị + trình duyệt</t>
        </is>
      </c>
      <c r="C4" s="8" t="n"/>
      <c r="D4" s="18" t="n"/>
    </row>
    <row r="5">
      <c r="A5" s="17" t="inlineStr">
        <is>
          <t>Ngày test</t>
        </is>
      </c>
      <c r="C5" s="8" t="n"/>
      <c r="D5" s="18" t="n"/>
    </row>
    <row r="7">
      <c r="A7" s="19" t="inlineStr">
        <is>
          <t>PHẦN 1 — CHẠY THEO KỊCH BẢN (đánh kết quả từng bước)</t>
        </is>
      </c>
    </row>
    <row r="8">
      <c r="A8" s="6" t="inlineStr">
        <is>
          <t>Bước</t>
        </is>
      </c>
      <c r="B8" s="6" t="inlineStr">
        <is>
          <t>Việc cần làm</t>
        </is>
      </c>
      <c r="C8" s="6" t="inlineStr">
        <is>
          <t>Kết quả</t>
        </is>
      </c>
      <c r="D8" s="6" t="inlineStr">
        <is>
          <t>Ghi chú: thấy gì / mong đợi gì</t>
        </is>
      </c>
      <c r="E8" s="6" t="inlineStr">
        <is>
          <t>Mức độ</t>
        </is>
      </c>
      <c r="F8" s="6" t="inlineStr">
        <is>
          <t>Link ảnh</t>
        </is>
      </c>
    </row>
    <row r="9" ht="30" customHeight="1">
      <c r="A9" s="11" t="n">
        <v>1</v>
      </c>
      <c r="B9" s="13" t="inlineStr">
        <is>
          <t>Đăng nhập tài khoản HỌC SINH của bạn, vào Học → chọn Toán 10</t>
        </is>
      </c>
      <c r="C9" s="20" t="n"/>
      <c r="D9" s="20" t="n"/>
      <c r="E9" s="20" t="n"/>
      <c r="F9" s="20" t="n"/>
    </row>
    <row r="10" ht="30" customHeight="1">
      <c r="A10" s="14" t="n">
        <v>2</v>
      </c>
      <c r="B10" s="16" t="inlineStr">
        <is>
          <t>Bấm vào bài đang học</t>
        </is>
      </c>
      <c r="C10" s="20" t="n"/>
      <c r="D10" s="20" t="n"/>
      <c r="E10" s="20" t="n"/>
      <c r="F10" s="20" t="n"/>
    </row>
    <row r="11" ht="30" customHeight="1">
      <c r="A11" s="11" t="n">
        <v>3</v>
      </c>
      <c r="B11" s="13" t="inlineStr">
        <is>
          <t>Đọc 5 câu đầu — soi kỹ mọi phân số</t>
        </is>
      </c>
      <c r="C11" s="20" t="n"/>
      <c r="D11" s="20" t="n"/>
      <c r="E11" s="20" t="n"/>
      <c r="F11" s="20" t="n"/>
    </row>
    <row r="12" ht="30" customHeight="1">
      <c r="A12" s="14" t="n">
        <v>4</v>
      </c>
      <c r="B12" s="16" t="inlineStr">
        <is>
          <t>Gặp câu có công thức dài (có phân số)</t>
        </is>
      </c>
      <c r="C12" s="20" t="n"/>
      <c r="D12" s="20" t="n"/>
      <c r="E12" s="20" t="n"/>
      <c r="F12" s="20" t="n"/>
    </row>
    <row r="13" ht="30" customHeight="1">
      <c r="A13" s="11" t="n">
        <v>5</v>
      </c>
      <c r="B13" s="13" t="inlineStr">
        <is>
          <t>Nhìn chữ cái đầu tiên của đề bài</t>
        </is>
      </c>
      <c r="C13" s="20" t="n"/>
      <c r="D13" s="20" t="n"/>
      <c r="E13" s="20" t="n"/>
      <c r="F13" s="20" t="n"/>
    </row>
    <row r="14" ht="30" customHeight="1">
      <c r="A14" s="14" t="n">
        <v>6</v>
      </c>
      <c r="B14" s="16" t="inlineStr">
        <is>
          <t>Gặp đề có x1, x2 (hai nghiệm) hoặc Q1, Q3</t>
        </is>
      </c>
      <c r="C14" s="20" t="n"/>
      <c r="D14" s="20" t="n"/>
      <c r="E14" s="20" t="n"/>
      <c r="F14" s="20" t="n"/>
    </row>
    <row r="15" ht="30" customHeight="1">
      <c r="A15" s="11" t="n">
        <v>7</v>
      </c>
      <c r="B15" s="13" t="inlineStr">
        <is>
          <t>Gặp câu 4 phương án NGẮN (Elip, Parabol…)</t>
        </is>
      </c>
      <c r="C15" s="20" t="n"/>
      <c r="D15" s="20" t="n"/>
      <c r="E15" s="20" t="n"/>
      <c r="F15" s="20" t="n"/>
    </row>
    <row r="16" ht="30" customHeight="1">
      <c r="A16" s="14" t="n">
        <v>8</v>
      </c>
      <c r="B16" s="16" t="inlineStr">
        <is>
          <t>Gặp câu phương án DÀI (cả một mệnh đề)</t>
        </is>
      </c>
      <c r="C16" s="20" t="n"/>
      <c r="D16" s="20" t="n"/>
      <c r="E16" s="20" t="n"/>
      <c r="F16" s="20" t="n"/>
    </row>
    <row r="17" ht="30" customHeight="1">
      <c r="A17" s="11" t="n">
        <v>9</v>
      </c>
      <c r="B17" s="13" t="inlineStr">
        <is>
          <t>Cố ý chọn SAI một câu trắc nghiệm</t>
        </is>
      </c>
      <c r="C17" s="20" t="n"/>
      <c r="D17" s="20" t="n"/>
      <c r="E17" s="20" t="n"/>
      <c r="F17" s="20" t="n"/>
    </row>
    <row r="18" ht="30" customHeight="1">
      <c r="A18" s="14" t="n">
        <v>10</v>
      </c>
      <c r="B18" s="16" t="inlineStr">
        <is>
          <t>Gặp câu 'ĐÚNG HAY SAI CHO TỪNG Ý', cố ý chọn sai một ý</t>
        </is>
      </c>
      <c r="C18" s="20" t="n"/>
      <c r="D18" s="20" t="n"/>
      <c r="E18" s="20" t="n"/>
      <c r="F18" s="20" t="n"/>
    </row>
    <row r="19" ht="30" customHeight="1">
      <c r="A19" s="11" t="n">
        <v>11</v>
      </c>
      <c r="B19" s="13" t="inlineStr">
        <is>
          <t>Ở câu đó bấm THỬ LẠI rồi cuộn xuống ý cuối cùng</t>
        </is>
      </c>
      <c r="C19" s="20" t="n"/>
      <c r="D19" s="20" t="n"/>
      <c r="E19" s="20" t="n"/>
      <c r="F19" s="20" t="n"/>
    </row>
    <row r="20" ht="30" customHeight="1">
      <c r="A20" s="14" t="n">
        <v>12</v>
      </c>
      <c r="B20" s="16" t="inlineStr">
        <is>
          <t>Gặp câu gõ đáp án, thử gõ một đoạn dài 3–4 dòng</t>
        </is>
      </c>
      <c r="C20" s="20" t="n"/>
      <c r="D20" s="20" t="n"/>
      <c r="E20" s="20" t="n"/>
      <c r="F20" s="20" t="n"/>
    </row>
    <row r="21" ht="30" customHeight="1">
      <c r="A21" s="11" t="n">
        <v>13</v>
      </c>
      <c r="B21" s="13" t="inlineStr">
        <is>
          <t>Gặp câu có nhãn 'LÀM RA GIẤY RỒI NỘP BÀI'</t>
        </is>
      </c>
      <c r="C21" s="20" t="n"/>
      <c r="D21" s="20" t="n"/>
      <c r="E21" s="20" t="n"/>
      <c r="F21" s="20" t="n"/>
    </row>
    <row r="22" ht="30" customHeight="1">
      <c r="A22" s="14" t="n">
        <v>14</v>
      </c>
      <c r="B22" s="16" t="inlineStr">
        <is>
          <t>Chọn một ảnh bất kỳ trong máy (giả làm bài đã chụp)</t>
        </is>
      </c>
      <c r="C22" s="20" t="n"/>
      <c r="D22" s="20" t="n"/>
      <c r="E22" s="20" t="n"/>
      <c r="F22" s="20" t="n"/>
    </row>
    <row r="23" ht="30" customHeight="1">
      <c r="A23" s="11" t="n">
        <v>15</v>
      </c>
      <c r="B23" s="13" t="inlineStr">
        <is>
          <t>Bấm NỘP BÀI</t>
        </is>
      </c>
      <c r="C23" s="20" t="n"/>
      <c r="D23" s="20" t="n"/>
      <c r="E23" s="20" t="n"/>
      <c r="F23" s="20" t="n"/>
    </row>
    <row r="24" ht="30" customHeight="1">
      <c r="A24" s="14" t="n">
        <v>16</v>
      </c>
      <c r="B24" s="16" t="inlineStr">
        <is>
          <t>Bấm HỌC TIẾP</t>
        </is>
      </c>
      <c r="C24" s="20" t="n"/>
      <c r="D24" s="20" t="n"/>
      <c r="E24" s="20" t="n"/>
      <c r="F24" s="20" t="n"/>
    </row>
    <row r="25" ht="30" customHeight="1">
      <c r="A25" s="11" t="n">
        <v>17</v>
      </c>
      <c r="B25" s="13" t="inlineStr">
        <is>
          <t>Đăng xuất, đăng nhập tài khoản GIÁO VIÊN của bạn</t>
        </is>
      </c>
      <c r="C25" s="20" t="n"/>
      <c r="D25" s="20" t="n"/>
      <c r="E25" s="20" t="n"/>
      <c r="F25" s="20" t="n"/>
    </row>
    <row r="26" ht="30" customHeight="1">
      <c r="A26" s="14" t="n">
        <v>18</v>
      </c>
      <c r="B26" s="16" t="inlineStr">
        <is>
          <t>Mở tab 'Chấm bài'</t>
        </is>
      </c>
      <c r="C26" s="20" t="n"/>
      <c r="D26" s="20" t="n"/>
      <c r="E26" s="20" t="n"/>
      <c r="F26" s="20" t="n"/>
    </row>
    <row r="27" ht="30" customHeight="1">
      <c r="A27" s="11" t="n">
        <v>19</v>
      </c>
      <c r="B27" s="13" t="inlineStr">
        <is>
          <t>Bấm 'Xem bài'</t>
        </is>
      </c>
      <c r="C27" s="20" t="n"/>
      <c r="D27" s="20" t="n"/>
      <c r="E27" s="20" t="n"/>
      <c r="F27" s="20" t="n"/>
    </row>
    <row r="28" ht="30" customHeight="1">
      <c r="A28" s="14" t="n">
        <v>20</v>
      </c>
      <c r="B28" s="16" t="inlineStr">
        <is>
          <t>Gõ lời nhắn rồi bấm 'Cho làm lại'</t>
        </is>
      </c>
      <c r="C28" s="20" t="n"/>
      <c r="D28" s="20" t="n"/>
      <c r="E28" s="20" t="n"/>
      <c r="F28" s="20" t="n"/>
    </row>
    <row r="29" ht="30" customHeight="1">
      <c r="A29" s="11" t="n">
        <v>21</v>
      </c>
      <c r="B29" s="13" t="inlineStr">
        <is>
          <t>Đăng nhập lại tài khoản HỌC SINH, mở lộ trình</t>
        </is>
      </c>
      <c r="C29" s="20" t="n"/>
      <c r="D29" s="20" t="n"/>
      <c r="E29" s="20" t="n"/>
      <c r="F29" s="20" t="n"/>
    </row>
    <row r="30" ht="30" customHeight="1">
      <c r="A30" s="14" t="n">
        <v>22</v>
      </c>
      <c r="B30" s="16" t="inlineStr">
        <is>
          <t>Nhìn dấu chân của bài đó trên lộ trình</t>
        </is>
      </c>
      <c r="C30" s="20" t="n"/>
      <c r="D30" s="20" t="n"/>
      <c r="E30" s="20" t="n"/>
      <c r="F30" s="20" t="n"/>
    </row>
    <row r="31" ht="30" customHeight="1">
      <c r="A31" s="11" t="n">
        <v>23</v>
      </c>
      <c r="B31" s="13" t="inlineStr">
        <is>
          <t>Vào lại bài đó, nộp một ảnh khác, rồi tải lại trang lộ trình</t>
        </is>
      </c>
      <c r="C31" s="20" t="n"/>
      <c r="D31" s="20" t="n"/>
      <c r="E31" s="20" t="n"/>
      <c r="F31" s="20" t="n"/>
    </row>
    <row r="32" ht="30" customHeight="1">
      <c r="A32" s="14" t="n">
        <v>24</v>
      </c>
      <c r="B32" s="16" t="inlineStr">
        <is>
          <t>Giáo viên: vào tab Chấm bài, bấm 'Đạt' cho bài mới nộp</t>
        </is>
      </c>
      <c r="C32" s="20" t="n"/>
      <c r="D32" s="20" t="n"/>
      <c r="E32" s="20" t="n"/>
      <c r="F32" s="20" t="n"/>
    </row>
    <row r="33" ht="30" customHeight="1">
      <c r="A33" s="11" t="n">
        <v>25</v>
      </c>
      <c r="B33" s="13" t="inlineStr">
        <is>
          <t>Học sinh: mở lại app xem điểm XP / trạng thái bài</t>
        </is>
      </c>
      <c r="C33" s="20" t="n"/>
      <c r="D33" s="20" t="n"/>
      <c r="E33" s="20" t="n"/>
      <c r="F33" s="20" t="n"/>
    </row>
    <row r="34" ht="30" customHeight="1">
      <c r="A34" s="14" t="n">
        <v>26</v>
      </c>
      <c r="B34" s="16" t="inlineStr">
        <is>
          <t>Đăng nhập tài khoản PHỤ HUYNH của bạn</t>
        </is>
      </c>
      <c r="C34" s="20" t="n"/>
      <c r="D34" s="20" t="n"/>
      <c r="E34" s="20" t="n"/>
      <c r="F34" s="20" t="n"/>
    </row>
    <row r="36">
      <c r="A36" s="19" t="inlineStr">
        <is>
          <t>PHẦN 2 — QUAN SÁT THÊM (mọi thứ khác bạn thấy, không có trong kịch bản)</t>
        </is>
      </c>
    </row>
    <row r="37">
      <c r="A37" s="6" t="inlineStr">
        <is>
          <t>Màn hình</t>
        </is>
      </c>
      <c r="B37" s="6" t="inlineStr">
        <is>
          <t>Thao tác của bạn</t>
        </is>
      </c>
      <c r="C37" s="6" t="inlineStr">
        <is>
          <t>Thấy gì</t>
        </is>
      </c>
      <c r="D37" s="6" t="inlineStr">
        <is>
          <t>Mong đợi gì</t>
        </is>
      </c>
      <c r="E37" s="6" t="inlineStr">
        <is>
          <t>Mức độ</t>
        </is>
      </c>
      <c r="F37" s="6" t="inlineStr">
        <is>
          <t>Link ảnh</t>
        </is>
      </c>
    </row>
    <row r="38" ht="30" customHeight="1">
      <c r="A38" s="21" t="inlineStr">
        <is>
          <t>Bài học — câu 7/20</t>
        </is>
      </c>
      <c r="B38" s="21" t="inlineStr">
        <is>
          <t>Bấm THỬ LẠI sau khi sai</t>
        </is>
      </c>
      <c r="C38" s="21" t="inlineStr">
        <is>
          <t>Nút nhảy lên trên, phải cuộn xuống mới thấy đáp án</t>
        </is>
      </c>
      <c r="D38" s="21" t="inlineStr">
        <is>
          <t>Ở nguyên chỗ cũ để bấm tiếp</t>
        </is>
      </c>
      <c r="E38" s="21" t="inlineStr">
        <is>
          <t>Nhẹ</t>
        </is>
      </c>
      <c r="F38" s="21" t="inlineStr">
        <is>
          <t>(dán link ảnh)</t>
        </is>
      </c>
    </row>
    <row r="39" ht="26" customHeight="1">
      <c r="A39" s="22" t="n"/>
      <c r="B39" s="22" t="n"/>
      <c r="C39" s="22" t="n"/>
      <c r="D39" s="22" t="n"/>
      <c r="E39" s="22" t="n"/>
      <c r="F39" s="22" t="n"/>
    </row>
    <row r="40" ht="26" customHeight="1">
      <c r="A40" s="22" t="n"/>
      <c r="B40" s="22" t="n"/>
      <c r="C40" s="22" t="n"/>
      <c r="D40" s="22" t="n"/>
      <c r="E40" s="22" t="n"/>
      <c r="F40" s="22" t="n"/>
    </row>
    <row r="41" ht="26" customHeight="1">
      <c r="A41" s="22" t="n"/>
      <c r="B41" s="22" t="n"/>
      <c r="C41" s="22" t="n"/>
      <c r="D41" s="22" t="n"/>
      <c r="E41" s="22" t="n"/>
      <c r="F41" s="22" t="n"/>
    </row>
    <row r="42" ht="26" customHeight="1">
      <c r="A42" s="22" t="n"/>
      <c r="B42" s="22" t="n"/>
      <c r="C42" s="22" t="n"/>
      <c r="D42" s="22" t="n"/>
      <c r="E42" s="22" t="n"/>
      <c r="F42" s="22" t="n"/>
    </row>
    <row r="43" ht="26" customHeight="1">
      <c r="A43" s="22" t="n"/>
      <c r="B43" s="22" t="n"/>
      <c r="C43" s="22" t="n"/>
      <c r="D43" s="22" t="n"/>
      <c r="E43" s="22" t="n"/>
      <c r="F43" s="22" t="n"/>
    </row>
    <row r="44" ht="26" customHeight="1">
      <c r="A44" s="22" t="n"/>
      <c r="B44" s="22" t="n"/>
      <c r="C44" s="22" t="n"/>
      <c r="D44" s="22" t="n"/>
      <c r="E44" s="22" t="n"/>
      <c r="F44" s="22" t="n"/>
    </row>
    <row r="45" ht="26" customHeight="1">
      <c r="A45" s="22" t="n"/>
      <c r="B45" s="22" t="n"/>
      <c r="C45" s="22" t="n"/>
      <c r="D45" s="22" t="n"/>
      <c r="E45" s="22" t="n"/>
      <c r="F45" s="22" t="n"/>
    </row>
    <row r="46" ht="26" customHeight="1">
      <c r="A46" s="22" t="n"/>
      <c r="B46" s="22" t="n"/>
      <c r="C46" s="22" t="n"/>
      <c r="D46" s="22" t="n"/>
      <c r="E46" s="22" t="n"/>
      <c r="F46" s="22" t="n"/>
    </row>
    <row r="47" ht="26" customHeight="1">
      <c r="A47" s="22" t="n"/>
      <c r="B47" s="22" t="n"/>
      <c r="C47" s="22" t="n"/>
      <c r="D47" s="22" t="n"/>
      <c r="E47" s="22" t="n"/>
      <c r="F47" s="22" t="n"/>
    </row>
    <row r="48" ht="26" customHeight="1">
      <c r="A48" s="22" t="n"/>
      <c r="B48" s="22" t="n"/>
      <c r="C48" s="22" t="n"/>
      <c r="D48" s="22" t="n"/>
      <c r="E48" s="22" t="n"/>
      <c r="F48" s="22" t="n"/>
    </row>
    <row r="49" ht="26" customHeight="1">
      <c r="A49" s="22" t="n"/>
      <c r="B49" s="22" t="n"/>
      <c r="C49" s="22" t="n"/>
      <c r="D49" s="22" t="n"/>
      <c r="E49" s="22" t="n"/>
      <c r="F49" s="22" t="n"/>
    </row>
    <row r="50" ht="26" customHeight="1">
      <c r="A50" s="22" t="n"/>
      <c r="B50" s="22" t="n"/>
      <c r="C50" s="22" t="n"/>
      <c r="D50" s="22" t="n"/>
      <c r="E50" s="22" t="n"/>
      <c r="F50" s="22" t="n"/>
    </row>
    <row r="51" ht="26" customHeight="1">
      <c r="A51" s="22" t="n"/>
      <c r="B51" s="22" t="n"/>
      <c r="C51" s="22" t="n"/>
      <c r="D51" s="22" t="n"/>
      <c r="E51" s="22" t="n"/>
      <c r="F51" s="22" t="n"/>
    </row>
    <row r="52" ht="26" customHeight="1">
      <c r="A52" s="22" t="n"/>
      <c r="B52" s="22" t="n"/>
      <c r="C52" s="22" t="n"/>
      <c r="D52" s="22" t="n"/>
      <c r="E52" s="22" t="n"/>
      <c r="F52" s="22" t="n"/>
    </row>
    <row r="53" ht="26" customHeight="1">
      <c r="A53" s="22" t="n"/>
      <c r="B53" s="22" t="n"/>
      <c r="C53" s="22" t="n"/>
      <c r="D53" s="22" t="n"/>
      <c r="E53" s="22" t="n"/>
      <c r="F53" s="22" t="n"/>
    </row>
    <row r="54" ht="26" customHeight="1">
      <c r="A54" s="22" t="n"/>
      <c r="B54" s="22" t="n"/>
      <c r="C54" s="22" t="n"/>
      <c r="D54" s="22" t="n"/>
      <c r="E54" s="22" t="n"/>
      <c r="F54" s="22" t="n"/>
    </row>
    <row r="55" ht="26" customHeight="1">
      <c r="A55" s="22" t="n"/>
      <c r="B55" s="22" t="n"/>
      <c r="C55" s="22" t="n"/>
      <c r="D55" s="22" t="n"/>
      <c r="E55" s="22" t="n"/>
      <c r="F55" s="22" t="n"/>
    </row>
    <row r="56" ht="26" customHeight="1">
      <c r="A56" s="22" t="n"/>
      <c r="B56" s="22" t="n"/>
      <c r="C56" s="22" t="n"/>
      <c r="D56" s="22" t="n"/>
      <c r="E56" s="22" t="n"/>
      <c r="F56" s="22" t="n"/>
    </row>
    <row r="57" ht="26" customHeight="1">
      <c r="A57" s="22" t="n"/>
      <c r="B57" s="22" t="n"/>
      <c r="C57" s="22" t="n"/>
      <c r="D57" s="22" t="n"/>
      <c r="E57" s="22" t="n"/>
      <c r="F57" s="22" t="n"/>
    </row>
    <row r="58" ht="26" customHeight="1">
      <c r="A58" s="22" t="n"/>
      <c r="B58" s="22" t="n"/>
      <c r="C58" s="22" t="n"/>
      <c r="D58" s="22" t="n"/>
      <c r="E58" s="22" t="n"/>
      <c r="F58" s="22" t="n"/>
    </row>
    <row r="59" ht="26" customHeight="1">
      <c r="A59" s="22" t="n"/>
      <c r="B59" s="22" t="n"/>
      <c r="C59" s="22" t="n"/>
      <c r="D59" s="22" t="n"/>
      <c r="E59" s="22" t="n"/>
      <c r="F59" s="22" t="n"/>
    </row>
    <row r="60" ht="26" customHeight="1">
      <c r="A60" s="22" t="n"/>
      <c r="B60" s="22" t="n"/>
      <c r="C60" s="22" t="n"/>
      <c r="D60" s="22" t="n"/>
      <c r="E60" s="22" t="n"/>
      <c r="F60" s="22" t="n"/>
    </row>
    <row r="61" ht="26" customHeight="1">
      <c r="A61" s="22" t="n"/>
      <c r="B61" s="22" t="n"/>
      <c r="C61" s="22" t="n"/>
      <c r="D61" s="22" t="n"/>
      <c r="E61" s="22" t="n"/>
      <c r="F61" s="22" t="n"/>
    </row>
    <row r="62" ht="26" customHeight="1">
      <c r="A62" s="22" t="n"/>
      <c r="B62" s="22" t="n"/>
      <c r="C62" s="22" t="n"/>
      <c r="D62" s="22" t="n"/>
      <c r="E62" s="22" t="n"/>
      <c r="F62" s="22" t="n"/>
    </row>
    <row r="63" ht="26" customHeight="1">
      <c r="A63" s="22" t="n"/>
      <c r="B63" s="22" t="n"/>
      <c r="C63" s="22" t="n"/>
      <c r="D63" s="22" t="n"/>
      <c r="E63" s="22" t="n"/>
      <c r="F63" s="22" t="n"/>
    </row>
  </sheetData>
  <mergeCells count="10">
    <mergeCell ref="A4:B4"/>
    <mergeCell ref="A7:F7"/>
    <mergeCell ref="A36:F36"/>
    <mergeCell ref="A1:F1"/>
    <mergeCell ref="C5:D5"/>
    <mergeCell ref="A5:B5"/>
    <mergeCell ref="C3:D3"/>
    <mergeCell ref="A3:B3"/>
    <mergeCell ref="E3:F3"/>
    <mergeCell ref="C4:D4"/>
  </mergeCells>
  <dataValidations count="3">
    <dataValidation sqref="C9:C34" showDropDown="0" showInputMessage="0" showErrorMessage="0" allowBlank="1" type="list">
      <formula1>"Đạt,Không đạt,Không làm được"</formula1>
    </dataValidation>
    <dataValidation sqref="E9:E34" showDropDown="0" showInputMessage="0" showErrorMessage="0" allowBlank="1" type="list">
      <formula1>"Chặn,Nặng,Nhẹ,Góp ý"</formula1>
    </dataValidation>
    <dataValidation sqref="E39:E63" showDropDown="0" showInputMessage="0" showErrorMessage="0" allowBlank="1" type="list">
      <formula1>"Chặn,Nặng,Nhẹ,Góp 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5" customWidth="1" min="3" max="3"/>
    <col width="52" customWidth="1" min="4" max="4"/>
    <col width="16" customWidth="1" min="5" max="5"/>
    <col width="26" customWidth="1" min="6" max="6"/>
  </cols>
  <sheetData>
    <row r="1">
      <c r="A1" s="10" t="inlineStr">
        <is>
          <t>PHIẾU TRẢI NGHIỆM — GV-3</t>
        </is>
      </c>
    </row>
    <row r="3">
      <c r="A3" s="17" t="inlineStr">
        <is>
          <t>Người thực hiện</t>
        </is>
      </c>
      <c r="C3" s="8" t="n"/>
      <c r="D3" s="18" t="n"/>
      <c r="E3" s="9" t="inlineStr">
        <is>
          <t>Ví dụ thiết bị: iPhone 13 · Safari  /  Laptop Dell · Chrome</t>
        </is>
      </c>
    </row>
    <row r="4">
      <c r="A4" s="17" t="inlineStr">
        <is>
          <t>Thiết bị + trình duyệt</t>
        </is>
      </c>
      <c r="C4" s="8" t="n"/>
      <c r="D4" s="18" t="n"/>
    </row>
    <row r="5">
      <c r="A5" s="17" t="inlineStr">
        <is>
          <t>Ngày test</t>
        </is>
      </c>
      <c r="C5" s="8" t="n"/>
      <c r="D5" s="18" t="n"/>
    </row>
    <row r="7">
      <c r="A7" s="19" t="inlineStr">
        <is>
          <t>PHẦN 1 — CHẠY THEO KỊCH BẢN (đánh kết quả từng bước)</t>
        </is>
      </c>
    </row>
    <row r="8">
      <c r="A8" s="6" t="inlineStr">
        <is>
          <t>Bước</t>
        </is>
      </c>
      <c r="B8" s="6" t="inlineStr">
        <is>
          <t>Việc cần làm</t>
        </is>
      </c>
      <c r="C8" s="6" t="inlineStr">
        <is>
          <t>Kết quả</t>
        </is>
      </c>
      <c r="D8" s="6" t="inlineStr">
        <is>
          <t>Ghi chú: thấy gì / mong đợi gì</t>
        </is>
      </c>
      <c r="E8" s="6" t="inlineStr">
        <is>
          <t>Mức độ</t>
        </is>
      </c>
      <c r="F8" s="6" t="inlineStr">
        <is>
          <t>Link ảnh</t>
        </is>
      </c>
    </row>
    <row r="9" ht="30" customHeight="1">
      <c r="A9" s="11" t="n">
        <v>1</v>
      </c>
      <c r="B9" s="13" t="inlineStr">
        <is>
          <t>Đăng nhập tài khoản HỌC SINH của bạn, vào Học → chọn Toán 10</t>
        </is>
      </c>
      <c r="C9" s="20" t="n"/>
      <c r="D9" s="20" t="n"/>
      <c r="E9" s="20" t="n"/>
      <c r="F9" s="20" t="n"/>
    </row>
    <row r="10" ht="30" customHeight="1">
      <c r="A10" s="14" t="n">
        <v>2</v>
      </c>
      <c r="B10" s="16" t="inlineStr">
        <is>
          <t>Bấm vào bài đang học</t>
        </is>
      </c>
      <c r="C10" s="20" t="n"/>
      <c r="D10" s="20" t="n"/>
      <c r="E10" s="20" t="n"/>
      <c r="F10" s="20" t="n"/>
    </row>
    <row r="11" ht="30" customHeight="1">
      <c r="A11" s="11" t="n">
        <v>3</v>
      </c>
      <c r="B11" s="13" t="inlineStr">
        <is>
          <t>Đọc 5 câu đầu — soi kỹ mọi phân số</t>
        </is>
      </c>
      <c r="C11" s="20" t="n"/>
      <c r="D11" s="20" t="n"/>
      <c r="E11" s="20" t="n"/>
      <c r="F11" s="20" t="n"/>
    </row>
    <row r="12" ht="30" customHeight="1">
      <c r="A12" s="14" t="n">
        <v>4</v>
      </c>
      <c r="B12" s="16" t="inlineStr">
        <is>
          <t>Gặp câu có công thức dài (có phân số)</t>
        </is>
      </c>
      <c r="C12" s="20" t="n"/>
      <c r="D12" s="20" t="n"/>
      <c r="E12" s="20" t="n"/>
      <c r="F12" s="20" t="n"/>
    </row>
    <row r="13" ht="30" customHeight="1">
      <c r="A13" s="11" t="n">
        <v>5</v>
      </c>
      <c r="B13" s="13" t="inlineStr">
        <is>
          <t>Nhìn chữ cái đầu tiên của đề bài</t>
        </is>
      </c>
      <c r="C13" s="20" t="n"/>
      <c r="D13" s="20" t="n"/>
      <c r="E13" s="20" t="n"/>
      <c r="F13" s="20" t="n"/>
    </row>
    <row r="14" ht="30" customHeight="1">
      <c r="A14" s="14" t="n">
        <v>6</v>
      </c>
      <c r="B14" s="16" t="inlineStr">
        <is>
          <t>Gặp đề có x1, x2 (hai nghiệm) hoặc Q1, Q3</t>
        </is>
      </c>
      <c r="C14" s="20" t="n"/>
      <c r="D14" s="20" t="n"/>
      <c r="E14" s="20" t="n"/>
      <c r="F14" s="20" t="n"/>
    </row>
    <row r="15" ht="30" customHeight="1">
      <c r="A15" s="11" t="n">
        <v>7</v>
      </c>
      <c r="B15" s="13" t="inlineStr">
        <is>
          <t>Gặp câu 4 phương án NGẮN (Elip, Parabol…)</t>
        </is>
      </c>
      <c r="C15" s="20" t="n"/>
      <c r="D15" s="20" t="n"/>
      <c r="E15" s="20" t="n"/>
      <c r="F15" s="20" t="n"/>
    </row>
    <row r="16" ht="30" customHeight="1">
      <c r="A16" s="14" t="n">
        <v>8</v>
      </c>
      <c r="B16" s="16" t="inlineStr">
        <is>
          <t>Gặp câu phương án DÀI (cả một mệnh đề)</t>
        </is>
      </c>
      <c r="C16" s="20" t="n"/>
      <c r="D16" s="20" t="n"/>
      <c r="E16" s="20" t="n"/>
      <c r="F16" s="20" t="n"/>
    </row>
    <row r="17" ht="30" customHeight="1">
      <c r="A17" s="11" t="n">
        <v>9</v>
      </c>
      <c r="B17" s="13" t="inlineStr">
        <is>
          <t>Cố ý chọn SAI một câu trắc nghiệm</t>
        </is>
      </c>
      <c r="C17" s="20" t="n"/>
      <c r="D17" s="20" t="n"/>
      <c r="E17" s="20" t="n"/>
      <c r="F17" s="20" t="n"/>
    </row>
    <row r="18" ht="30" customHeight="1">
      <c r="A18" s="14" t="n">
        <v>10</v>
      </c>
      <c r="B18" s="16" t="inlineStr">
        <is>
          <t>Gặp câu 'ĐÚNG HAY SAI CHO TỪNG Ý', cố ý chọn sai một ý</t>
        </is>
      </c>
      <c r="C18" s="20" t="n"/>
      <c r="D18" s="20" t="n"/>
      <c r="E18" s="20" t="n"/>
      <c r="F18" s="20" t="n"/>
    </row>
    <row r="19" ht="30" customHeight="1">
      <c r="A19" s="11" t="n">
        <v>11</v>
      </c>
      <c r="B19" s="13" t="inlineStr">
        <is>
          <t>Ở câu đó bấm THỬ LẠI rồi cuộn xuống ý cuối cùng</t>
        </is>
      </c>
      <c r="C19" s="20" t="n"/>
      <c r="D19" s="20" t="n"/>
      <c r="E19" s="20" t="n"/>
      <c r="F19" s="20" t="n"/>
    </row>
    <row r="20" ht="30" customHeight="1">
      <c r="A20" s="14" t="n">
        <v>12</v>
      </c>
      <c r="B20" s="16" t="inlineStr">
        <is>
          <t>Gặp câu gõ đáp án, thử gõ một đoạn dài 3–4 dòng</t>
        </is>
      </c>
      <c r="C20" s="20" t="n"/>
      <c r="D20" s="20" t="n"/>
      <c r="E20" s="20" t="n"/>
      <c r="F20" s="20" t="n"/>
    </row>
    <row r="21" ht="30" customHeight="1">
      <c r="A21" s="11" t="n">
        <v>13</v>
      </c>
      <c r="B21" s="13" t="inlineStr">
        <is>
          <t>Gặp câu có nhãn 'LÀM RA GIẤY RỒI NỘP BÀI'</t>
        </is>
      </c>
      <c r="C21" s="20" t="n"/>
      <c r="D21" s="20" t="n"/>
      <c r="E21" s="20" t="n"/>
      <c r="F21" s="20" t="n"/>
    </row>
    <row r="22" ht="30" customHeight="1">
      <c r="A22" s="14" t="n">
        <v>14</v>
      </c>
      <c r="B22" s="16" t="inlineStr">
        <is>
          <t>Chọn một ảnh bất kỳ trong máy (giả làm bài đã chụp)</t>
        </is>
      </c>
      <c r="C22" s="20" t="n"/>
      <c r="D22" s="20" t="n"/>
      <c r="E22" s="20" t="n"/>
      <c r="F22" s="20" t="n"/>
    </row>
    <row r="23" ht="30" customHeight="1">
      <c r="A23" s="11" t="n">
        <v>15</v>
      </c>
      <c r="B23" s="13" t="inlineStr">
        <is>
          <t>Bấm NỘP BÀI</t>
        </is>
      </c>
      <c r="C23" s="20" t="n"/>
      <c r="D23" s="20" t="n"/>
      <c r="E23" s="20" t="n"/>
      <c r="F23" s="20" t="n"/>
    </row>
    <row r="24" ht="30" customHeight="1">
      <c r="A24" s="14" t="n">
        <v>16</v>
      </c>
      <c r="B24" s="16" t="inlineStr">
        <is>
          <t>Bấm HỌC TIẾP</t>
        </is>
      </c>
      <c r="C24" s="20" t="n"/>
      <c r="D24" s="20" t="n"/>
      <c r="E24" s="20" t="n"/>
      <c r="F24" s="20" t="n"/>
    </row>
    <row r="25" ht="30" customHeight="1">
      <c r="A25" s="11" t="n">
        <v>17</v>
      </c>
      <c r="B25" s="13" t="inlineStr">
        <is>
          <t>Đăng xuất, đăng nhập tài khoản GIÁO VIÊN của bạn</t>
        </is>
      </c>
      <c r="C25" s="20" t="n"/>
      <c r="D25" s="20" t="n"/>
      <c r="E25" s="20" t="n"/>
      <c r="F25" s="20" t="n"/>
    </row>
    <row r="26" ht="30" customHeight="1">
      <c r="A26" s="14" t="n">
        <v>18</v>
      </c>
      <c r="B26" s="16" t="inlineStr">
        <is>
          <t>Mở tab 'Chấm bài'</t>
        </is>
      </c>
      <c r="C26" s="20" t="n"/>
      <c r="D26" s="20" t="n"/>
      <c r="E26" s="20" t="n"/>
      <c r="F26" s="20" t="n"/>
    </row>
    <row r="27" ht="30" customHeight="1">
      <c r="A27" s="11" t="n">
        <v>19</v>
      </c>
      <c r="B27" s="13" t="inlineStr">
        <is>
          <t>Bấm 'Xem bài'</t>
        </is>
      </c>
      <c r="C27" s="20" t="n"/>
      <c r="D27" s="20" t="n"/>
      <c r="E27" s="20" t="n"/>
      <c r="F27" s="20" t="n"/>
    </row>
    <row r="28" ht="30" customHeight="1">
      <c r="A28" s="14" t="n">
        <v>20</v>
      </c>
      <c r="B28" s="16" t="inlineStr">
        <is>
          <t>Gõ lời nhắn rồi bấm 'Cho làm lại'</t>
        </is>
      </c>
      <c r="C28" s="20" t="n"/>
      <c r="D28" s="20" t="n"/>
      <c r="E28" s="20" t="n"/>
      <c r="F28" s="20" t="n"/>
    </row>
    <row r="29" ht="30" customHeight="1">
      <c r="A29" s="11" t="n">
        <v>21</v>
      </c>
      <c r="B29" s="13" t="inlineStr">
        <is>
          <t>Đăng nhập lại tài khoản HỌC SINH, mở lộ trình</t>
        </is>
      </c>
      <c r="C29" s="20" t="n"/>
      <c r="D29" s="20" t="n"/>
      <c r="E29" s="20" t="n"/>
      <c r="F29" s="20" t="n"/>
    </row>
    <row r="30" ht="30" customHeight="1">
      <c r="A30" s="14" t="n">
        <v>22</v>
      </c>
      <c r="B30" s="16" t="inlineStr">
        <is>
          <t>Nhìn dấu chân của bài đó trên lộ trình</t>
        </is>
      </c>
      <c r="C30" s="20" t="n"/>
      <c r="D30" s="20" t="n"/>
      <c r="E30" s="20" t="n"/>
      <c r="F30" s="20" t="n"/>
    </row>
    <row r="31" ht="30" customHeight="1">
      <c r="A31" s="11" t="n">
        <v>23</v>
      </c>
      <c r="B31" s="13" t="inlineStr">
        <is>
          <t>Vào lại bài đó, nộp một ảnh khác, rồi tải lại trang lộ trình</t>
        </is>
      </c>
      <c r="C31" s="20" t="n"/>
      <c r="D31" s="20" t="n"/>
      <c r="E31" s="20" t="n"/>
      <c r="F31" s="20" t="n"/>
    </row>
    <row r="32" ht="30" customHeight="1">
      <c r="A32" s="14" t="n">
        <v>24</v>
      </c>
      <c r="B32" s="16" t="inlineStr">
        <is>
          <t>Giáo viên: vào tab Chấm bài, bấm 'Đạt' cho bài mới nộp</t>
        </is>
      </c>
      <c r="C32" s="20" t="n"/>
      <c r="D32" s="20" t="n"/>
      <c r="E32" s="20" t="n"/>
      <c r="F32" s="20" t="n"/>
    </row>
    <row r="33" ht="30" customHeight="1">
      <c r="A33" s="11" t="n">
        <v>25</v>
      </c>
      <c r="B33" s="13" t="inlineStr">
        <is>
          <t>Học sinh: mở lại app xem điểm XP / trạng thái bài</t>
        </is>
      </c>
      <c r="C33" s="20" t="n"/>
      <c r="D33" s="20" t="n"/>
      <c r="E33" s="20" t="n"/>
      <c r="F33" s="20" t="n"/>
    </row>
    <row r="34" ht="30" customHeight="1">
      <c r="A34" s="14" t="n">
        <v>26</v>
      </c>
      <c r="B34" s="16" t="inlineStr">
        <is>
          <t>Đăng nhập tài khoản PHỤ HUYNH của bạn</t>
        </is>
      </c>
      <c r="C34" s="20" t="n"/>
      <c r="D34" s="20" t="n"/>
      <c r="E34" s="20" t="n"/>
      <c r="F34" s="20" t="n"/>
    </row>
    <row r="36">
      <c r="A36" s="19" t="inlineStr">
        <is>
          <t>PHẦN 2 — QUAN SÁT THÊM (mọi thứ khác bạn thấy, không có trong kịch bản)</t>
        </is>
      </c>
    </row>
    <row r="37">
      <c r="A37" s="6" t="inlineStr">
        <is>
          <t>Màn hình</t>
        </is>
      </c>
      <c r="B37" s="6" t="inlineStr">
        <is>
          <t>Thao tác của bạn</t>
        </is>
      </c>
      <c r="C37" s="6" t="inlineStr">
        <is>
          <t>Thấy gì</t>
        </is>
      </c>
      <c r="D37" s="6" t="inlineStr">
        <is>
          <t>Mong đợi gì</t>
        </is>
      </c>
      <c r="E37" s="6" t="inlineStr">
        <is>
          <t>Mức độ</t>
        </is>
      </c>
      <c r="F37" s="6" t="inlineStr">
        <is>
          <t>Link ảnh</t>
        </is>
      </c>
    </row>
    <row r="38" ht="30" customHeight="1">
      <c r="A38" s="21" t="inlineStr">
        <is>
          <t>Bài học — câu 7/20</t>
        </is>
      </c>
      <c r="B38" s="21" t="inlineStr">
        <is>
          <t>Bấm THỬ LẠI sau khi sai</t>
        </is>
      </c>
      <c r="C38" s="21" t="inlineStr">
        <is>
          <t>Nút nhảy lên trên, phải cuộn xuống mới thấy đáp án</t>
        </is>
      </c>
      <c r="D38" s="21" t="inlineStr">
        <is>
          <t>Ở nguyên chỗ cũ để bấm tiếp</t>
        </is>
      </c>
      <c r="E38" s="21" t="inlineStr">
        <is>
          <t>Nhẹ</t>
        </is>
      </c>
      <c r="F38" s="21" t="inlineStr">
        <is>
          <t>(dán link ảnh)</t>
        </is>
      </c>
    </row>
    <row r="39" ht="26" customHeight="1">
      <c r="A39" s="22" t="n"/>
      <c r="B39" s="22" t="n"/>
      <c r="C39" s="22" t="n"/>
      <c r="D39" s="22" t="n"/>
      <c r="E39" s="22" t="n"/>
      <c r="F39" s="22" t="n"/>
    </row>
    <row r="40" ht="26" customHeight="1">
      <c r="A40" s="22" t="n"/>
      <c r="B40" s="22" t="n"/>
      <c r="C40" s="22" t="n"/>
      <c r="D40" s="22" t="n"/>
      <c r="E40" s="22" t="n"/>
      <c r="F40" s="22" t="n"/>
    </row>
    <row r="41" ht="26" customHeight="1">
      <c r="A41" s="22" t="n"/>
      <c r="B41" s="22" t="n"/>
      <c r="C41" s="22" t="n"/>
      <c r="D41" s="22" t="n"/>
      <c r="E41" s="22" t="n"/>
      <c r="F41" s="22" t="n"/>
    </row>
    <row r="42" ht="26" customHeight="1">
      <c r="A42" s="22" t="n"/>
      <c r="B42" s="22" t="n"/>
      <c r="C42" s="22" t="n"/>
      <c r="D42" s="22" t="n"/>
      <c r="E42" s="22" t="n"/>
      <c r="F42" s="22" t="n"/>
    </row>
    <row r="43" ht="26" customHeight="1">
      <c r="A43" s="22" t="n"/>
      <c r="B43" s="22" t="n"/>
      <c r="C43" s="22" t="n"/>
      <c r="D43" s="22" t="n"/>
      <c r="E43" s="22" t="n"/>
      <c r="F43" s="22" t="n"/>
    </row>
    <row r="44" ht="26" customHeight="1">
      <c r="A44" s="22" t="n"/>
      <c r="B44" s="22" t="n"/>
      <c r="C44" s="22" t="n"/>
      <c r="D44" s="22" t="n"/>
      <c r="E44" s="22" t="n"/>
      <c r="F44" s="22" t="n"/>
    </row>
    <row r="45" ht="26" customHeight="1">
      <c r="A45" s="22" t="n"/>
      <c r="B45" s="22" t="n"/>
      <c r="C45" s="22" t="n"/>
      <c r="D45" s="22" t="n"/>
      <c r="E45" s="22" t="n"/>
      <c r="F45" s="22" t="n"/>
    </row>
    <row r="46" ht="26" customHeight="1">
      <c r="A46" s="22" t="n"/>
      <c r="B46" s="22" t="n"/>
      <c r="C46" s="22" t="n"/>
      <c r="D46" s="22" t="n"/>
      <c r="E46" s="22" t="n"/>
      <c r="F46" s="22" t="n"/>
    </row>
    <row r="47" ht="26" customHeight="1">
      <c r="A47" s="22" t="n"/>
      <c r="B47" s="22" t="n"/>
      <c r="C47" s="22" t="n"/>
      <c r="D47" s="22" t="n"/>
      <c r="E47" s="22" t="n"/>
      <c r="F47" s="22" t="n"/>
    </row>
    <row r="48" ht="26" customHeight="1">
      <c r="A48" s="22" t="n"/>
      <c r="B48" s="22" t="n"/>
      <c r="C48" s="22" t="n"/>
      <c r="D48" s="22" t="n"/>
      <c r="E48" s="22" t="n"/>
      <c r="F48" s="22" t="n"/>
    </row>
    <row r="49" ht="26" customHeight="1">
      <c r="A49" s="22" t="n"/>
      <c r="B49" s="22" t="n"/>
      <c r="C49" s="22" t="n"/>
      <c r="D49" s="22" t="n"/>
      <c r="E49" s="22" t="n"/>
      <c r="F49" s="22" t="n"/>
    </row>
    <row r="50" ht="26" customHeight="1">
      <c r="A50" s="22" t="n"/>
      <c r="B50" s="22" t="n"/>
      <c r="C50" s="22" t="n"/>
      <c r="D50" s="22" t="n"/>
      <c r="E50" s="22" t="n"/>
      <c r="F50" s="22" t="n"/>
    </row>
    <row r="51" ht="26" customHeight="1">
      <c r="A51" s="22" t="n"/>
      <c r="B51" s="22" t="n"/>
      <c r="C51" s="22" t="n"/>
      <c r="D51" s="22" t="n"/>
      <c r="E51" s="22" t="n"/>
      <c r="F51" s="22" t="n"/>
    </row>
    <row r="52" ht="26" customHeight="1">
      <c r="A52" s="22" t="n"/>
      <c r="B52" s="22" t="n"/>
      <c r="C52" s="22" t="n"/>
      <c r="D52" s="22" t="n"/>
      <c r="E52" s="22" t="n"/>
      <c r="F52" s="22" t="n"/>
    </row>
    <row r="53" ht="26" customHeight="1">
      <c r="A53" s="22" t="n"/>
      <c r="B53" s="22" t="n"/>
      <c r="C53" s="22" t="n"/>
      <c r="D53" s="22" t="n"/>
      <c r="E53" s="22" t="n"/>
      <c r="F53" s="22" t="n"/>
    </row>
    <row r="54" ht="26" customHeight="1">
      <c r="A54" s="22" t="n"/>
      <c r="B54" s="22" t="n"/>
      <c r="C54" s="22" t="n"/>
      <c r="D54" s="22" t="n"/>
      <c r="E54" s="22" t="n"/>
      <c r="F54" s="22" t="n"/>
    </row>
    <row r="55" ht="26" customHeight="1">
      <c r="A55" s="22" t="n"/>
      <c r="B55" s="22" t="n"/>
      <c r="C55" s="22" t="n"/>
      <c r="D55" s="22" t="n"/>
      <c r="E55" s="22" t="n"/>
      <c r="F55" s="22" t="n"/>
    </row>
    <row r="56" ht="26" customHeight="1">
      <c r="A56" s="22" t="n"/>
      <c r="B56" s="22" t="n"/>
      <c r="C56" s="22" t="n"/>
      <c r="D56" s="22" t="n"/>
      <c r="E56" s="22" t="n"/>
      <c r="F56" s="22" t="n"/>
    </row>
    <row r="57" ht="26" customHeight="1">
      <c r="A57" s="22" t="n"/>
      <c r="B57" s="22" t="n"/>
      <c r="C57" s="22" t="n"/>
      <c r="D57" s="22" t="n"/>
      <c r="E57" s="22" t="n"/>
      <c r="F57" s="22" t="n"/>
    </row>
    <row r="58" ht="26" customHeight="1">
      <c r="A58" s="22" t="n"/>
      <c r="B58" s="22" t="n"/>
      <c r="C58" s="22" t="n"/>
      <c r="D58" s="22" t="n"/>
      <c r="E58" s="22" t="n"/>
      <c r="F58" s="22" t="n"/>
    </row>
    <row r="59" ht="26" customHeight="1">
      <c r="A59" s="22" t="n"/>
      <c r="B59" s="22" t="n"/>
      <c r="C59" s="22" t="n"/>
      <c r="D59" s="22" t="n"/>
      <c r="E59" s="22" t="n"/>
      <c r="F59" s="22" t="n"/>
    </row>
    <row r="60" ht="26" customHeight="1">
      <c r="A60" s="22" t="n"/>
      <c r="B60" s="22" t="n"/>
      <c r="C60" s="22" t="n"/>
      <c r="D60" s="22" t="n"/>
      <c r="E60" s="22" t="n"/>
      <c r="F60" s="22" t="n"/>
    </row>
    <row r="61" ht="26" customHeight="1">
      <c r="A61" s="22" t="n"/>
      <c r="B61" s="22" t="n"/>
      <c r="C61" s="22" t="n"/>
      <c r="D61" s="22" t="n"/>
      <c r="E61" s="22" t="n"/>
      <c r="F61" s="22" t="n"/>
    </row>
    <row r="62" ht="26" customHeight="1">
      <c r="A62" s="22" t="n"/>
      <c r="B62" s="22" t="n"/>
      <c r="C62" s="22" t="n"/>
      <c r="D62" s="22" t="n"/>
      <c r="E62" s="22" t="n"/>
      <c r="F62" s="22" t="n"/>
    </row>
    <row r="63" ht="26" customHeight="1">
      <c r="A63" s="22" t="n"/>
      <c r="B63" s="22" t="n"/>
      <c r="C63" s="22" t="n"/>
      <c r="D63" s="22" t="n"/>
      <c r="E63" s="22" t="n"/>
      <c r="F63" s="22" t="n"/>
    </row>
  </sheetData>
  <mergeCells count="10">
    <mergeCell ref="A4:B4"/>
    <mergeCell ref="A7:F7"/>
    <mergeCell ref="A36:F36"/>
    <mergeCell ref="A1:F1"/>
    <mergeCell ref="C5:D5"/>
    <mergeCell ref="A5:B5"/>
    <mergeCell ref="C3:D3"/>
    <mergeCell ref="A3:B3"/>
    <mergeCell ref="E3:F3"/>
    <mergeCell ref="C4:D4"/>
  </mergeCells>
  <dataValidations count="3">
    <dataValidation sqref="C9:C34" showDropDown="0" showInputMessage="0" showErrorMessage="0" allowBlank="1" type="list">
      <formula1>"Đạt,Không đạt,Không làm được"</formula1>
    </dataValidation>
    <dataValidation sqref="E9:E34" showDropDown="0" showInputMessage="0" showErrorMessage="0" allowBlank="1" type="list">
      <formula1>"Chặn,Nặng,Nhẹ,Góp ý"</formula1>
    </dataValidation>
    <dataValidation sqref="E39:E63" showDropDown="0" showInputMessage="0" showErrorMessage="0" allowBlank="1" type="list">
      <formula1>"Chặn,Nặng,Nhẹ,Góp 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0" customWidth="1" min="3" max="3"/>
    <col width="12" customWidth="1" min="4" max="4"/>
    <col width="18" customWidth="1" min="5" max="5"/>
    <col width="52" customWidth="1" min="6" max="6"/>
    <col width="46" customWidth="1" min="7" max="7"/>
  </cols>
  <sheetData>
    <row r="1">
      <c r="A1" s="10" t="inlineStr">
        <is>
          <t>LỖI NỘI DUNG CÂU HỎI — sheet DÙNG CHUNG cho cả ba người</t>
        </is>
      </c>
    </row>
    <row r="2">
      <c r="A2" s="9" t="inlineStr">
        <is>
          <t>Chỉ ghi vào đây khi lỗi nằm ở NỘI DUNG câu hỏi (sai kiến thức, lộ đáp án, đề khó hiểu). Lỗi giao diện thì ghi ở sheet riêng của bạn.</t>
        </is>
      </c>
    </row>
    <row r="4">
      <c r="A4" s="6" t="inlineStr">
        <is>
          <t>Người ghi</t>
        </is>
      </c>
      <c r="B4" s="6" t="inlineStr">
        <is>
          <t>Môn</t>
        </is>
      </c>
      <c r="C4" s="6" t="inlineStr">
        <is>
          <t>Tên bài</t>
        </is>
      </c>
      <c r="D4" s="6" t="inlineStr">
        <is>
          <t>Câu số</t>
        </is>
      </c>
      <c r="E4" s="6" t="inlineStr">
        <is>
          <t>Loại lỗi</t>
        </is>
      </c>
      <c r="F4" s="6" t="inlineStr">
        <is>
          <t>Sai chỗ nào</t>
        </is>
      </c>
      <c r="G4" s="6" t="inlineStr">
        <is>
          <t>Đề nghị sửa thành</t>
        </is>
      </c>
    </row>
    <row r="5" ht="30" customHeight="1">
      <c r="A5" s="21" t="inlineStr">
        <is>
          <t>GV-1</t>
        </is>
      </c>
      <c r="B5" s="21" t="inlineStr">
        <is>
          <t>Toán 10</t>
        </is>
      </c>
      <c r="C5" s="21" t="inlineStr">
        <is>
          <t>Mệnh đề và phủ định</t>
        </is>
      </c>
      <c r="D5" s="21" t="inlineStr">
        <is>
          <t>3/20</t>
        </is>
      </c>
      <c r="E5" s="21" t="inlineStr">
        <is>
          <t>Lộ đáp án</t>
        </is>
      </c>
      <c r="F5" s="21" t="inlineStr">
        <is>
          <t>Chỉ đáp án đúng mới kèm lý do trong ngoặc, ba đáp án kia trơ — đoán được ngay</t>
        </is>
      </c>
      <c r="G5" s="21" t="inlineStr">
        <is>
          <t>Bỏ phần trong ngoặc, đưa xuống lời giải</t>
        </is>
      </c>
    </row>
    <row r="6" ht="26" customHeight="1">
      <c r="A6" s="22" t="n"/>
      <c r="B6" s="22" t="n"/>
      <c r="C6" s="22" t="n"/>
      <c r="D6" s="22" t="n"/>
      <c r="E6" s="22" t="n"/>
      <c r="F6" s="22" t="n"/>
      <c r="G6" s="22" t="n"/>
    </row>
    <row r="7" ht="26" customHeight="1">
      <c r="A7" s="22" t="n"/>
      <c r="B7" s="22" t="n"/>
      <c r="C7" s="22" t="n"/>
      <c r="D7" s="22" t="n"/>
      <c r="E7" s="22" t="n"/>
      <c r="F7" s="22" t="n"/>
      <c r="G7" s="22" t="n"/>
    </row>
    <row r="8" ht="26" customHeight="1">
      <c r="A8" s="22" t="n"/>
      <c r="B8" s="22" t="n"/>
      <c r="C8" s="22" t="n"/>
      <c r="D8" s="22" t="n"/>
      <c r="E8" s="22" t="n"/>
      <c r="F8" s="22" t="n"/>
      <c r="G8" s="22" t="n"/>
    </row>
    <row r="9" ht="26" customHeight="1">
      <c r="A9" s="22" t="n"/>
      <c r="B9" s="22" t="n"/>
      <c r="C9" s="22" t="n"/>
      <c r="D9" s="22" t="n"/>
      <c r="E9" s="22" t="n"/>
      <c r="F9" s="22" t="n"/>
      <c r="G9" s="22" t="n"/>
    </row>
    <row r="10" ht="26" customHeight="1">
      <c r="A10" s="22" t="n"/>
      <c r="B10" s="22" t="n"/>
      <c r="C10" s="22" t="n"/>
      <c r="D10" s="22" t="n"/>
      <c r="E10" s="22" t="n"/>
      <c r="F10" s="22" t="n"/>
      <c r="G10" s="22" t="n"/>
    </row>
    <row r="11" ht="26" customHeight="1">
      <c r="A11" s="22" t="n"/>
      <c r="B11" s="22" t="n"/>
      <c r="C11" s="22" t="n"/>
      <c r="D11" s="22" t="n"/>
      <c r="E11" s="22" t="n"/>
      <c r="F11" s="22" t="n"/>
      <c r="G11" s="22" t="n"/>
    </row>
    <row r="12" ht="26" customHeight="1">
      <c r="A12" s="22" t="n"/>
      <c r="B12" s="22" t="n"/>
      <c r="C12" s="22" t="n"/>
      <c r="D12" s="22" t="n"/>
      <c r="E12" s="22" t="n"/>
      <c r="F12" s="22" t="n"/>
      <c r="G12" s="22" t="n"/>
    </row>
    <row r="13" ht="26" customHeight="1">
      <c r="A13" s="22" t="n"/>
      <c r="B13" s="22" t="n"/>
      <c r="C13" s="22" t="n"/>
      <c r="D13" s="22" t="n"/>
      <c r="E13" s="22" t="n"/>
      <c r="F13" s="22" t="n"/>
      <c r="G13" s="22" t="n"/>
    </row>
    <row r="14" ht="26" customHeight="1">
      <c r="A14" s="22" t="n"/>
      <c r="B14" s="22" t="n"/>
      <c r="C14" s="22" t="n"/>
      <c r="D14" s="22" t="n"/>
      <c r="E14" s="22" t="n"/>
      <c r="F14" s="22" t="n"/>
      <c r="G14" s="22" t="n"/>
    </row>
    <row r="15" ht="26" customHeight="1">
      <c r="A15" s="22" t="n"/>
      <c r="B15" s="22" t="n"/>
      <c r="C15" s="22" t="n"/>
      <c r="D15" s="22" t="n"/>
      <c r="E15" s="22" t="n"/>
      <c r="F15" s="22" t="n"/>
      <c r="G15" s="22" t="n"/>
    </row>
    <row r="16" ht="26" customHeight="1">
      <c r="A16" s="22" t="n"/>
      <c r="B16" s="22" t="n"/>
      <c r="C16" s="22" t="n"/>
      <c r="D16" s="22" t="n"/>
      <c r="E16" s="22" t="n"/>
      <c r="F16" s="22" t="n"/>
      <c r="G16" s="22" t="n"/>
    </row>
    <row r="17" ht="26" customHeight="1">
      <c r="A17" s="22" t="n"/>
      <c r="B17" s="22" t="n"/>
      <c r="C17" s="22" t="n"/>
      <c r="D17" s="22" t="n"/>
      <c r="E17" s="22" t="n"/>
      <c r="F17" s="22" t="n"/>
      <c r="G17" s="22" t="n"/>
    </row>
    <row r="18" ht="26" customHeight="1">
      <c r="A18" s="22" t="n"/>
      <c r="B18" s="22" t="n"/>
      <c r="C18" s="22" t="n"/>
      <c r="D18" s="22" t="n"/>
      <c r="E18" s="22" t="n"/>
      <c r="F18" s="22" t="n"/>
      <c r="G18" s="22" t="n"/>
    </row>
    <row r="19" ht="26" customHeight="1">
      <c r="A19" s="22" t="n"/>
      <c r="B19" s="22" t="n"/>
      <c r="C19" s="22" t="n"/>
      <c r="D19" s="22" t="n"/>
      <c r="E19" s="22" t="n"/>
      <c r="F19" s="22" t="n"/>
      <c r="G19" s="22" t="n"/>
    </row>
    <row r="20" ht="26" customHeight="1">
      <c r="A20" s="22" t="n"/>
      <c r="B20" s="22" t="n"/>
      <c r="C20" s="22" t="n"/>
      <c r="D20" s="22" t="n"/>
      <c r="E20" s="22" t="n"/>
      <c r="F20" s="22" t="n"/>
      <c r="G20" s="22" t="n"/>
    </row>
    <row r="21" ht="26" customHeight="1">
      <c r="A21" s="22" t="n"/>
      <c r="B21" s="22" t="n"/>
      <c r="C21" s="22" t="n"/>
      <c r="D21" s="22" t="n"/>
      <c r="E21" s="22" t="n"/>
      <c r="F21" s="22" t="n"/>
      <c r="G21" s="22" t="n"/>
    </row>
    <row r="22" ht="26" customHeight="1">
      <c r="A22" s="22" t="n"/>
      <c r="B22" s="22" t="n"/>
      <c r="C22" s="22" t="n"/>
      <c r="D22" s="22" t="n"/>
      <c r="E22" s="22" t="n"/>
      <c r="F22" s="22" t="n"/>
      <c r="G22" s="22" t="n"/>
    </row>
    <row r="23" ht="26" customHeight="1">
      <c r="A23" s="22" t="n"/>
      <c r="B23" s="22" t="n"/>
      <c r="C23" s="22" t="n"/>
      <c r="D23" s="22" t="n"/>
      <c r="E23" s="22" t="n"/>
      <c r="F23" s="22" t="n"/>
      <c r="G23" s="22" t="n"/>
    </row>
    <row r="24" ht="26" customHeight="1">
      <c r="A24" s="22" t="n"/>
      <c r="B24" s="22" t="n"/>
      <c r="C24" s="22" t="n"/>
      <c r="D24" s="22" t="n"/>
      <c r="E24" s="22" t="n"/>
      <c r="F24" s="22" t="n"/>
      <c r="G24" s="22" t="n"/>
    </row>
    <row r="25" ht="26" customHeight="1">
      <c r="A25" s="22" t="n"/>
      <c r="B25" s="22" t="n"/>
      <c r="C25" s="22" t="n"/>
      <c r="D25" s="22" t="n"/>
      <c r="E25" s="22" t="n"/>
      <c r="F25" s="22" t="n"/>
      <c r="G25" s="22" t="n"/>
    </row>
    <row r="26" ht="26" customHeight="1">
      <c r="A26" s="22" t="n"/>
      <c r="B26" s="22" t="n"/>
      <c r="C26" s="22" t="n"/>
      <c r="D26" s="22" t="n"/>
      <c r="E26" s="22" t="n"/>
      <c r="F26" s="22" t="n"/>
      <c r="G26" s="22" t="n"/>
    </row>
    <row r="27" ht="26" customHeight="1">
      <c r="A27" s="22" t="n"/>
      <c r="B27" s="22" t="n"/>
      <c r="C27" s="22" t="n"/>
      <c r="D27" s="22" t="n"/>
      <c r="E27" s="22" t="n"/>
      <c r="F27" s="22" t="n"/>
      <c r="G27" s="22" t="n"/>
    </row>
    <row r="28" ht="26" customHeight="1">
      <c r="A28" s="22" t="n"/>
      <c r="B28" s="22" t="n"/>
      <c r="C28" s="22" t="n"/>
      <c r="D28" s="22" t="n"/>
      <c r="E28" s="22" t="n"/>
      <c r="F28" s="22" t="n"/>
      <c r="G28" s="22" t="n"/>
    </row>
    <row r="29" ht="26" customHeight="1">
      <c r="A29" s="22" t="n"/>
      <c r="B29" s="22" t="n"/>
      <c r="C29" s="22" t="n"/>
      <c r="D29" s="22" t="n"/>
      <c r="E29" s="22" t="n"/>
      <c r="F29" s="22" t="n"/>
      <c r="G29" s="22" t="n"/>
    </row>
    <row r="30" ht="26" customHeight="1">
      <c r="A30" s="22" t="n"/>
      <c r="B30" s="22" t="n"/>
      <c r="C30" s="22" t="n"/>
      <c r="D30" s="22" t="n"/>
      <c r="E30" s="22" t="n"/>
      <c r="F30" s="22" t="n"/>
      <c r="G30" s="22" t="n"/>
    </row>
    <row r="31" ht="26" customHeight="1">
      <c r="A31" s="22" t="n"/>
      <c r="B31" s="22" t="n"/>
      <c r="C31" s="22" t="n"/>
      <c r="D31" s="22" t="n"/>
      <c r="E31" s="22" t="n"/>
      <c r="F31" s="22" t="n"/>
      <c r="G31" s="22" t="n"/>
    </row>
    <row r="32" ht="26" customHeight="1">
      <c r="A32" s="22" t="n"/>
      <c r="B32" s="22" t="n"/>
      <c r="C32" s="22" t="n"/>
      <c r="D32" s="22" t="n"/>
      <c r="E32" s="22" t="n"/>
      <c r="F32" s="22" t="n"/>
      <c r="G32" s="22" t="n"/>
    </row>
    <row r="33" ht="26" customHeight="1">
      <c r="A33" s="22" t="n"/>
      <c r="B33" s="22" t="n"/>
      <c r="C33" s="22" t="n"/>
      <c r="D33" s="22" t="n"/>
      <c r="E33" s="22" t="n"/>
      <c r="F33" s="22" t="n"/>
      <c r="G33" s="22" t="n"/>
    </row>
    <row r="34" ht="26" customHeight="1">
      <c r="A34" s="22" t="n"/>
      <c r="B34" s="22" t="n"/>
      <c r="C34" s="22" t="n"/>
      <c r="D34" s="22" t="n"/>
      <c r="E34" s="22" t="n"/>
      <c r="F34" s="22" t="n"/>
      <c r="G34" s="22" t="n"/>
    </row>
    <row r="35" ht="26" customHeight="1">
      <c r="A35" s="22" t="n"/>
      <c r="B35" s="22" t="n"/>
      <c r="C35" s="22" t="n"/>
      <c r="D35" s="22" t="n"/>
      <c r="E35" s="22" t="n"/>
      <c r="F35" s="22" t="n"/>
      <c r="G35" s="22" t="n"/>
    </row>
    <row r="36" ht="26" customHeight="1">
      <c r="A36" s="22" t="n"/>
      <c r="B36" s="22" t="n"/>
      <c r="C36" s="22" t="n"/>
      <c r="D36" s="22" t="n"/>
      <c r="E36" s="22" t="n"/>
      <c r="F36" s="22" t="n"/>
      <c r="G36" s="22" t="n"/>
    </row>
    <row r="37" ht="26" customHeight="1">
      <c r="A37" s="22" t="n"/>
      <c r="B37" s="22" t="n"/>
      <c r="C37" s="22" t="n"/>
      <c r="D37" s="22" t="n"/>
      <c r="E37" s="22" t="n"/>
      <c r="F37" s="22" t="n"/>
      <c r="G37" s="22" t="n"/>
    </row>
    <row r="38" ht="26" customHeight="1">
      <c r="A38" s="22" t="n"/>
      <c r="B38" s="22" t="n"/>
      <c r="C38" s="22" t="n"/>
      <c r="D38" s="22" t="n"/>
      <c r="E38" s="22" t="n"/>
      <c r="F38" s="22" t="n"/>
      <c r="G38" s="22" t="n"/>
    </row>
    <row r="39" ht="26" customHeight="1">
      <c r="A39" s="22" t="n"/>
      <c r="B39" s="22" t="n"/>
      <c r="C39" s="22" t="n"/>
      <c r="D39" s="22" t="n"/>
      <c r="E39" s="22" t="n"/>
      <c r="F39" s="22" t="n"/>
      <c r="G39" s="22" t="n"/>
    </row>
    <row r="40" ht="26" customHeight="1">
      <c r="A40" s="22" t="n"/>
      <c r="B40" s="22" t="n"/>
      <c r="C40" s="22" t="n"/>
      <c r="D40" s="22" t="n"/>
      <c r="E40" s="22" t="n"/>
      <c r="F40" s="22" t="n"/>
      <c r="G40" s="22" t="n"/>
    </row>
    <row r="41" ht="26" customHeight="1">
      <c r="A41" s="22" t="n"/>
      <c r="B41" s="22" t="n"/>
      <c r="C41" s="22" t="n"/>
      <c r="D41" s="22" t="n"/>
      <c r="E41" s="22" t="n"/>
      <c r="F41" s="22" t="n"/>
      <c r="G41" s="22" t="n"/>
    </row>
    <row r="42" ht="26" customHeight="1">
      <c r="A42" s="22" t="n"/>
      <c r="B42" s="22" t="n"/>
      <c r="C42" s="22" t="n"/>
      <c r="D42" s="22" t="n"/>
      <c r="E42" s="22" t="n"/>
      <c r="F42" s="22" t="n"/>
      <c r="G42" s="22" t="n"/>
    </row>
    <row r="43" ht="26" customHeight="1">
      <c r="A43" s="22" t="n"/>
      <c r="B43" s="22" t="n"/>
      <c r="C43" s="22" t="n"/>
      <c r="D43" s="22" t="n"/>
      <c r="E43" s="22" t="n"/>
      <c r="F43" s="22" t="n"/>
      <c r="G43" s="22" t="n"/>
    </row>
    <row r="44" ht="26" customHeight="1">
      <c r="A44" s="22" t="n"/>
      <c r="B44" s="22" t="n"/>
      <c r="C44" s="22" t="n"/>
      <c r="D44" s="22" t="n"/>
      <c r="E44" s="22" t="n"/>
      <c r="F44" s="22" t="n"/>
      <c r="G44" s="22" t="n"/>
    </row>
    <row r="45" ht="26" customHeight="1">
      <c r="A45" s="22" t="n"/>
      <c r="B45" s="22" t="n"/>
      <c r="C45" s="22" t="n"/>
      <c r="D45" s="22" t="n"/>
      <c r="E45" s="22" t="n"/>
      <c r="F45" s="22" t="n"/>
      <c r="G45" s="22" t="n"/>
    </row>
  </sheetData>
  <mergeCells count="2">
    <mergeCell ref="A2:G2"/>
    <mergeCell ref="A1:G1"/>
  </mergeCells>
  <dataValidations count="2">
    <dataValidation sqref="E6:E45" showDropDown="0" showInputMessage="0" showErrorMessage="0" allowBlank="1" type="list">
      <formula1>"Sai kiến thức,Lộ đáp án,Đề khó hiểu,Sai chính tả,Khác"</formula1>
    </dataValidation>
    <dataValidation sqref="A6:A45" showDropDown="0" showInputMessage="0" showErrorMessage="0" allowBlank="1" type="list">
      <formula1>"GV-1,GV-2,GV-3"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4" customWidth="1" min="3" max="3"/>
    <col width="14" customWidth="1" min="4" max="4"/>
    <col width="14" customWidth="1" min="5" max="5"/>
    <col width="18" customWidth="1" min="6" max="6"/>
  </cols>
  <sheetData>
    <row r="1">
      <c r="A1" s="10" t="inlineStr">
        <is>
          <t>TỔNG HỢP — bước nào mấy người vướng</t>
        </is>
      </c>
    </row>
    <row r="2">
      <c r="A2" s="9" t="inlineStr">
        <is>
          <t>Bảng này TỰ TÍNH từ ba sheet GV, không phải điền tay. 3/3 người không đạt = lỗi thật, ưu tiên sửa trước. 1/3 = nhiều khả năng do máy hoặc trình duyệt.</t>
        </is>
      </c>
    </row>
    <row r="4">
      <c r="A4" s="6" t="inlineStr">
        <is>
          <t>Bước</t>
        </is>
      </c>
      <c r="B4" s="6" t="inlineStr">
        <is>
          <t>Việc cần làm</t>
        </is>
      </c>
      <c r="C4" s="6" t="inlineStr">
        <is>
          <t>Không đạt</t>
        </is>
      </c>
      <c r="D4" s="6" t="inlineStr">
        <is>
          <t>Không làm được</t>
        </is>
      </c>
      <c r="E4" s="6" t="inlineStr">
        <is>
          <t>Đạt</t>
        </is>
      </c>
      <c r="F4" s="6" t="inlineStr">
        <is>
          <t>Ưu tiên</t>
        </is>
      </c>
    </row>
    <row r="5" ht="28" customHeight="1">
      <c r="A5" s="11" t="n">
        <v>1</v>
      </c>
      <c r="B5" s="13" t="inlineStr">
        <is>
          <t>Đăng nhập tài khoản HỌC SINH của bạn, vào Học → chọn Toán 10</t>
        </is>
      </c>
      <c r="C5" s="23">
        <f>COUNTIF('GV-1'!C9,"Không đạt")+COUNTIF('GV-2'!C9,"Không đạt")+COUNTIF('GV-3'!C9,"Không đạt")</f>
        <v/>
      </c>
      <c r="D5" s="23">
        <f>COUNTIF('GV-1'!C9,"Không làm được")+COUNTIF('GV-2'!C9,"Không làm được")+COUNTIF('GV-3'!C9,"Không làm được")</f>
        <v/>
      </c>
      <c r="E5" s="23">
        <f>COUNTIF('GV-1'!C9,"Đạt")+COUNTIF('GV-2'!C9,"Đạt")+COUNTIF('GV-3'!C9,"Đạt")</f>
        <v/>
      </c>
      <c r="F5" s="11">
        <f>IF(C5+D5&gt;=3,"CAO — cả 3 người",IF(C5+D5=2,"Vừa — 2 người",IF(C5+D5=1,"Thấp — 1 người","")))</f>
        <v/>
      </c>
    </row>
    <row r="6" ht="28" customHeight="1">
      <c r="A6" s="11" t="n">
        <v>2</v>
      </c>
      <c r="B6" s="13" t="inlineStr">
        <is>
          <t>Bấm vào bài đang học</t>
        </is>
      </c>
      <c r="C6" s="23">
        <f>COUNTIF('GV-1'!C10,"Không đạt")+COUNTIF('GV-2'!C10,"Không đạt")+COUNTIF('GV-3'!C10,"Không đạt")</f>
        <v/>
      </c>
      <c r="D6" s="23">
        <f>COUNTIF('GV-1'!C10,"Không làm được")+COUNTIF('GV-2'!C10,"Không làm được")+COUNTIF('GV-3'!C10,"Không làm được")</f>
        <v/>
      </c>
      <c r="E6" s="23">
        <f>COUNTIF('GV-1'!C10,"Đạt")+COUNTIF('GV-2'!C10,"Đạt")+COUNTIF('GV-3'!C10,"Đạt")</f>
        <v/>
      </c>
      <c r="F6" s="11">
        <f>IF(C6+D6&gt;=3,"CAO — cả 3 người",IF(C6+D6=2,"Vừa — 2 người",IF(C6+D6=1,"Thấp — 1 người","")))</f>
        <v/>
      </c>
    </row>
    <row r="7" ht="28" customHeight="1">
      <c r="A7" s="11" t="n">
        <v>3</v>
      </c>
      <c r="B7" s="13" t="inlineStr">
        <is>
          <t>Đọc 5 câu đầu — soi kỹ mọi phân số</t>
        </is>
      </c>
      <c r="C7" s="23">
        <f>COUNTIF('GV-1'!C11,"Không đạt")+COUNTIF('GV-2'!C11,"Không đạt")+COUNTIF('GV-3'!C11,"Không đạt")</f>
        <v/>
      </c>
      <c r="D7" s="23">
        <f>COUNTIF('GV-1'!C11,"Không làm được")+COUNTIF('GV-2'!C11,"Không làm được")+COUNTIF('GV-3'!C11,"Không làm được")</f>
        <v/>
      </c>
      <c r="E7" s="23">
        <f>COUNTIF('GV-1'!C11,"Đạt")+COUNTIF('GV-2'!C11,"Đạt")+COUNTIF('GV-3'!C11,"Đạt")</f>
        <v/>
      </c>
      <c r="F7" s="11">
        <f>IF(C7+D7&gt;=3,"CAO — cả 3 người",IF(C7+D7=2,"Vừa — 2 người",IF(C7+D7=1,"Thấp — 1 người","")))</f>
        <v/>
      </c>
    </row>
    <row r="8" ht="28" customHeight="1">
      <c r="A8" s="11" t="n">
        <v>4</v>
      </c>
      <c r="B8" s="13" t="inlineStr">
        <is>
          <t>Gặp câu có công thức dài (có phân số)</t>
        </is>
      </c>
      <c r="C8" s="23">
        <f>COUNTIF('GV-1'!C12,"Không đạt")+COUNTIF('GV-2'!C12,"Không đạt")+COUNTIF('GV-3'!C12,"Không đạt")</f>
        <v/>
      </c>
      <c r="D8" s="23">
        <f>COUNTIF('GV-1'!C12,"Không làm được")+COUNTIF('GV-2'!C12,"Không làm được")+COUNTIF('GV-3'!C12,"Không làm được")</f>
        <v/>
      </c>
      <c r="E8" s="23">
        <f>COUNTIF('GV-1'!C12,"Đạt")+COUNTIF('GV-2'!C12,"Đạt")+COUNTIF('GV-3'!C12,"Đạt")</f>
        <v/>
      </c>
      <c r="F8" s="11">
        <f>IF(C8+D8&gt;=3,"CAO — cả 3 người",IF(C8+D8=2,"Vừa — 2 người",IF(C8+D8=1,"Thấp — 1 người","")))</f>
        <v/>
      </c>
    </row>
    <row r="9" ht="28" customHeight="1">
      <c r="A9" s="11" t="n">
        <v>5</v>
      </c>
      <c r="B9" s="13" t="inlineStr">
        <is>
          <t>Nhìn chữ cái đầu tiên của đề bài</t>
        </is>
      </c>
      <c r="C9" s="23">
        <f>COUNTIF('GV-1'!C13,"Không đạt")+COUNTIF('GV-2'!C13,"Không đạt")+COUNTIF('GV-3'!C13,"Không đạt")</f>
        <v/>
      </c>
      <c r="D9" s="23">
        <f>COUNTIF('GV-1'!C13,"Không làm được")+COUNTIF('GV-2'!C13,"Không làm được")+COUNTIF('GV-3'!C13,"Không làm được")</f>
        <v/>
      </c>
      <c r="E9" s="23">
        <f>COUNTIF('GV-1'!C13,"Đạt")+COUNTIF('GV-2'!C13,"Đạt")+COUNTIF('GV-3'!C13,"Đạt")</f>
        <v/>
      </c>
      <c r="F9" s="11">
        <f>IF(C9+D9&gt;=3,"CAO — cả 3 người",IF(C9+D9=2,"Vừa — 2 người",IF(C9+D9=1,"Thấp — 1 người","")))</f>
        <v/>
      </c>
    </row>
    <row r="10" ht="28" customHeight="1">
      <c r="A10" s="11" t="n">
        <v>6</v>
      </c>
      <c r="B10" s="13" t="inlineStr">
        <is>
          <t>Gặp đề có x1, x2 (hai nghiệm) hoặc Q1, Q3</t>
        </is>
      </c>
      <c r="C10" s="23">
        <f>COUNTIF('GV-1'!C14,"Không đạt")+COUNTIF('GV-2'!C14,"Không đạt")+COUNTIF('GV-3'!C14,"Không đạt")</f>
        <v/>
      </c>
      <c r="D10" s="23">
        <f>COUNTIF('GV-1'!C14,"Không làm được")+COUNTIF('GV-2'!C14,"Không làm được")+COUNTIF('GV-3'!C14,"Không làm được")</f>
        <v/>
      </c>
      <c r="E10" s="23">
        <f>COUNTIF('GV-1'!C14,"Đạt")+COUNTIF('GV-2'!C14,"Đạt")+COUNTIF('GV-3'!C14,"Đạt")</f>
        <v/>
      </c>
      <c r="F10" s="11">
        <f>IF(C10+D10&gt;=3,"CAO — cả 3 người",IF(C10+D10=2,"Vừa — 2 người",IF(C10+D10=1,"Thấp — 1 người","")))</f>
        <v/>
      </c>
    </row>
    <row r="11" ht="28" customHeight="1">
      <c r="A11" s="11" t="n">
        <v>7</v>
      </c>
      <c r="B11" s="13" t="inlineStr">
        <is>
          <t>Gặp câu 4 phương án NGẮN (Elip, Parabol…)</t>
        </is>
      </c>
      <c r="C11" s="23">
        <f>COUNTIF('GV-1'!C15,"Không đạt")+COUNTIF('GV-2'!C15,"Không đạt")+COUNTIF('GV-3'!C15,"Không đạt")</f>
        <v/>
      </c>
      <c r="D11" s="23">
        <f>COUNTIF('GV-1'!C15,"Không làm được")+COUNTIF('GV-2'!C15,"Không làm được")+COUNTIF('GV-3'!C15,"Không làm được")</f>
        <v/>
      </c>
      <c r="E11" s="23">
        <f>COUNTIF('GV-1'!C15,"Đạt")+COUNTIF('GV-2'!C15,"Đạt")+COUNTIF('GV-3'!C15,"Đạt")</f>
        <v/>
      </c>
      <c r="F11" s="11">
        <f>IF(C11+D11&gt;=3,"CAO — cả 3 người",IF(C11+D11=2,"Vừa — 2 người",IF(C11+D11=1,"Thấp — 1 người","")))</f>
        <v/>
      </c>
    </row>
    <row r="12" ht="28" customHeight="1">
      <c r="A12" s="11" t="n">
        <v>8</v>
      </c>
      <c r="B12" s="13" t="inlineStr">
        <is>
          <t>Gặp câu phương án DÀI (cả một mệnh đề)</t>
        </is>
      </c>
      <c r="C12" s="23">
        <f>COUNTIF('GV-1'!C16,"Không đạt")+COUNTIF('GV-2'!C16,"Không đạt")+COUNTIF('GV-3'!C16,"Không đạt")</f>
        <v/>
      </c>
      <c r="D12" s="23">
        <f>COUNTIF('GV-1'!C16,"Không làm được")+COUNTIF('GV-2'!C16,"Không làm được")+COUNTIF('GV-3'!C16,"Không làm được")</f>
        <v/>
      </c>
      <c r="E12" s="23">
        <f>COUNTIF('GV-1'!C16,"Đạt")+COUNTIF('GV-2'!C16,"Đạt")+COUNTIF('GV-3'!C16,"Đạt")</f>
        <v/>
      </c>
      <c r="F12" s="11">
        <f>IF(C12+D12&gt;=3,"CAO — cả 3 người",IF(C12+D12=2,"Vừa — 2 người",IF(C12+D12=1,"Thấp — 1 người","")))</f>
        <v/>
      </c>
    </row>
    <row r="13" ht="28" customHeight="1">
      <c r="A13" s="11" t="n">
        <v>9</v>
      </c>
      <c r="B13" s="13" t="inlineStr">
        <is>
          <t>Cố ý chọn SAI một câu trắc nghiệm</t>
        </is>
      </c>
      <c r="C13" s="23">
        <f>COUNTIF('GV-1'!C17,"Không đạt")+COUNTIF('GV-2'!C17,"Không đạt")+COUNTIF('GV-3'!C17,"Không đạt")</f>
        <v/>
      </c>
      <c r="D13" s="23">
        <f>COUNTIF('GV-1'!C17,"Không làm được")+COUNTIF('GV-2'!C17,"Không làm được")+COUNTIF('GV-3'!C17,"Không làm được")</f>
        <v/>
      </c>
      <c r="E13" s="23">
        <f>COUNTIF('GV-1'!C17,"Đạt")+COUNTIF('GV-2'!C17,"Đạt")+COUNTIF('GV-3'!C17,"Đạt")</f>
        <v/>
      </c>
      <c r="F13" s="11">
        <f>IF(C13+D13&gt;=3,"CAO — cả 3 người",IF(C13+D13=2,"Vừa — 2 người",IF(C13+D13=1,"Thấp — 1 người","")))</f>
        <v/>
      </c>
    </row>
    <row r="14" ht="28" customHeight="1">
      <c r="A14" s="11" t="n">
        <v>10</v>
      </c>
      <c r="B14" s="13" t="inlineStr">
        <is>
          <t>Gặp câu 'ĐÚNG HAY SAI CHO TỪNG Ý', cố ý chọn sai một ý</t>
        </is>
      </c>
      <c r="C14" s="23">
        <f>COUNTIF('GV-1'!C18,"Không đạt")+COUNTIF('GV-2'!C18,"Không đạt")+COUNTIF('GV-3'!C18,"Không đạt")</f>
        <v/>
      </c>
      <c r="D14" s="23">
        <f>COUNTIF('GV-1'!C18,"Không làm được")+COUNTIF('GV-2'!C18,"Không làm được")+COUNTIF('GV-3'!C18,"Không làm được")</f>
        <v/>
      </c>
      <c r="E14" s="23">
        <f>COUNTIF('GV-1'!C18,"Đạt")+COUNTIF('GV-2'!C18,"Đạt")+COUNTIF('GV-3'!C18,"Đạt")</f>
        <v/>
      </c>
      <c r="F14" s="11">
        <f>IF(C14+D14&gt;=3,"CAO — cả 3 người",IF(C14+D14=2,"Vừa — 2 người",IF(C14+D14=1,"Thấp — 1 người","")))</f>
        <v/>
      </c>
    </row>
    <row r="15" ht="28" customHeight="1">
      <c r="A15" s="11" t="n">
        <v>11</v>
      </c>
      <c r="B15" s="13" t="inlineStr">
        <is>
          <t>Ở câu đó bấm THỬ LẠI rồi cuộn xuống ý cuối cùng</t>
        </is>
      </c>
      <c r="C15" s="23">
        <f>COUNTIF('GV-1'!C19,"Không đạt")+COUNTIF('GV-2'!C19,"Không đạt")+COUNTIF('GV-3'!C19,"Không đạt")</f>
        <v/>
      </c>
      <c r="D15" s="23">
        <f>COUNTIF('GV-1'!C19,"Không làm được")+COUNTIF('GV-2'!C19,"Không làm được")+COUNTIF('GV-3'!C19,"Không làm được")</f>
        <v/>
      </c>
      <c r="E15" s="23">
        <f>COUNTIF('GV-1'!C19,"Đạt")+COUNTIF('GV-2'!C19,"Đạt")+COUNTIF('GV-3'!C19,"Đạt")</f>
        <v/>
      </c>
      <c r="F15" s="11">
        <f>IF(C15+D15&gt;=3,"CAO — cả 3 người",IF(C15+D15=2,"Vừa — 2 người",IF(C15+D15=1,"Thấp — 1 người","")))</f>
        <v/>
      </c>
    </row>
    <row r="16" ht="28" customHeight="1">
      <c r="A16" s="11" t="n">
        <v>12</v>
      </c>
      <c r="B16" s="13" t="inlineStr">
        <is>
          <t>Gặp câu gõ đáp án, thử gõ một đoạn dài 3–4 dòng</t>
        </is>
      </c>
      <c r="C16" s="23">
        <f>COUNTIF('GV-1'!C20,"Không đạt")+COUNTIF('GV-2'!C20,"Không đạt")+COUNTIF('GV-3'!C20,"Không đạt")</f>
        <v/>
      </c>
      <c r="D16" s="23">
        <f>COUNTIF('GV-1'!C20,"Không làm được")+COUNTIF('GV-2'!C20,"Không làm được")+COUNTIF('GV-3'!C20,"Không làm được")</f>
        <v/>
      </c>
      <c r="E16" s="23">
        <f>COUNTIF('GV-1'!C20,"Đạt")+COUNTIF('GV-2'!C20,"Đạt")+COUNTIF('GV-3'!C20,"Đạt")</f>
        <v/>
      </c>
      <c r="F16" s="11">
        <f>IF(C16+D16&gt;=3,"CAO — cả 3 người",IF(C16+D16=2,"Vừa — 2 người",IF(C16+D16=1,"Thấp — 1 người","")))</f>
        <v/>
      </c>
    </row>
    <row r="17" ht="28" customHeight="1">
      <c r="A17" s="11" t="n">
        <v>13</v>
      </c>
      <c r="B17" s="13" t="inlineStr">
        <is>
          <t>Gặp câu có nhãn 'LÀM RA GIẤY RỒI NỘP BÀI'</t>
        </is>
      </c>
      <c r="C17" s="23">
        <f>COUNTIF('GV-1'!C21,"Không đạt")+COUNTIF('GV-2'!C21,"Không đạt")+COUNTIF('GV-3'!C21,"Không đạt")</f>
        <v/>
      </c>
      <c r="D17" s="23">
        <f>COUNTIF('GV-1'!C21,"Không làm được")+COUNTIF('GV-2'!C21,"Không làm được")+COUNTIF('GV-3'!C21,"Không làm được")</f>
        <v/>
      </c>
      <c r="E17" s="23">
        <f>COUNTIF('GV-1'!C21,"Đạt")+COUNTIF('GV-2'!C21,"Đạt")+COUNTIF('GV-3'!C21,"Đạt")</f>
        <v/>
      </c>
      <c r="F17" s="11">
        <f>IF(C17+D17&gt;=3,"CAO — cả 3 người",IF(C17+D17=2,"Vừa — 2 người",IF(C17+D17=1,"Thấp — 1 người","")))</f>
        <v/>
      </c>
    </row>
    <row r="18" ht="28" customHeight="1">
      <c r="A18" s="11" t="n">
        <v>14</v>
      </c>
      <c r="B18" s="13" t="inlineStr">
        <is>
          <t>Chọn một ảnh bất kỳ trong máy (giả làm bài đã chụp)</t>
        </is>
      </c>
      <c r="C18" s="23">
        <f>COUNTIF('GV-1'!C22,"Không đạt")+COUNTIF('GV-2'!C22,"Không đạt")+COUNTIF('GV-3'!C22,"Không đạt")</f>
        <v/>
      </c>
      <c r="D18" s="23">
        <f>COUNTIF('GV-1'!C22,"Không làm được")+COUNTIF('GV-2'!C22,"Không làm được")+COUNTIF('GV-3'!C22,"Không làm được")</f>
        <v/>
      </c>
      <c r="E18" s="23">
        <f>COUNTIF('GV-1'!C22,"Đạt")+COUNTIF('GV-2'!C22,"Đạt")+COUNTIF('GV-3'!C22,"Đạt")</f>
        <v/>
      </c>
      <c r="F18" s="11">
        <f>IF(C18+D18&gt;=3,"CAO — cả 3 người",IF(C18+D18=2,"Vừa — 2 người",IF(C18+D18=1,"Thấp — 1 người","")))</f>
        <v/>
      </c>
    </row>
    <row r="19" ht="28" customHeight="1">
      <c r="A19" s="11" t="n">
        <v>15</v>
      </c>
      <c r="B19" s="13" t="inlineStr">
        <is>
          <t>Bấm NỘP BÀI</t>
        </is>
      </c>
      <c r="C19" s="23">
        <f>COUNTIF('GV-1'!C23,"Không đạt")+COUNTIF('GV-2'!C23,"Không đạt")+COUNTIF('GV-3'!C23,"Không đạt")</f>
        <v/>
      </c>
      <c r="D19" s="23">
        <f>COUNTIF('GV-1'!C23,"Không làm được")+COUNTIF('GV-2'!C23,"Không làm được")+COUNTIF('GV-3'!C23,"Không làm được")</f>
        <v/>
      </c>
      <c r="E19" s="23">
        <f>COUNTIF('GV-1'!C23,"Đạt")+COUNTIF('GV-2'!C23,"Đạt")+COUNTIF('GV-3'!C23,"Đạt")</f>
        <v/>
      </c>
      <c r="F19" s="11">
        <f>IF(C19+D19&gt;=3,"CAO — cả 3 người",IF(C19+D19=2,"Vừa — 2 người",IF(C19+D19=1,"Thấp — 1 người","")))</f>
        <v/>
      </c>
    </row>
    <row r="20" ht="28" customHeight="1">
      <c r="A20" s="11" t="n">
        <v>16</v>
      </c>
      <c r="B20" s="13" t="inlineStr">
        <is>
          <t>Bấm HỌC TIẾP</t>
        </is>
      </c>
      <c r="C20" s="23">
        <f>COUNTIF('GV-1'!C24,"Không đạt")+COUNTIF('GV-2'!C24,"Không đạt")+COUNTIF('GV-3'!C24,"Không đạt")</f>
        <v/>
      </c>
      <c r="D20" s="23">
        <f>COUNTIF('GV-1'!C24,"Không làm được")+COUNTIF('GV-2'!C24,"Không làm được")+COUNTIF('GV-3'!C24,"Không làm được")</f>
        <v/>
      </c>
      <c r="E20" s="23">
        <f>COUNTIF('GV-1'!C24,"Đạt")+COUNTIF('GV-2'!C24,"Đạt")+COUNTIF('GV-3'!C24,"Đạt")</f>
        <v/>
      </c>
      <c r="F20" s="11">
        <f>IF(C20+D20&gt;=3,"CAO — cả 3 người",IF(C20+D20=2,"Vừa — 2 người",IF(C20+D20=1,"Thấp — 1 người","")))</f>
        <v/>
      </c>
    </row>
    <row r="21" ht="28" customHeight="1">
      <c r="A21" s="11" t="n">
        <v>17</v>
      </c>
      <c r="B21" s="13" t="inlineStr">
        <is>
          <t>Đăng xuất, đăng nhập tài khoản GIÁO VIÊN của bạn</t>
        </is>
      </c>
      <c r="C21" s="23">
        <f>COUNTIF('GV-1'!C25,"Không đạt")+COUNTIF('GV-2'!C25,"Không đạt")+COUNTIF('GV-3'!C25,"Không đạt")</f>
        <v/>
      </c>
      <c r="D21" s="23">
        <f>COUNTIF('GV-1'!C25,"Không làm được")+COUNTIF('GV-2'!C25,"Không làm được")+COUNTIF('GV-3'!C25,"Không làm được")</f>
        <v/>
      </c>
      <c r="E21" s="23">
        <f>COUNTIF('GV-1'!C25,"Đạt")+COUNTIF('GV-2'!C25,"Đạt")+COUNTIF('GV-3'!C25,"Đạt")</f>
        <v/>
      </c>
      <c r="F21" s="11">
        <f>IF(C21+D21&gt;=3,"CAO — cả 3 người",IF(C21+D21=2,"Vừa — 2 người",IF(C21+D21=1,"Thấp — 1 người","")))</f>
        <v/>
      </c>
    </row>
    <row r="22" ht="28" customHeight="1">
      <c r="A22" s="11" t="n">
        <v>18</v>
      </c>
      <c r="B22" s="13" t="inlineStr">
        <is>
          <t>Mở tab 'Chấm bài'</t>
        </is>
      </c>
      <c r="C22" s="23">
        <f>COUNTIF('GV-1'!C26,"Không đạt")+COUNTIF('GV-2'!C26,"Không đạt")+COUNTIF('GV-3'!C26,"Không đạt")</f>
        <v/>
      </c>
      <c r="D22" s="23">
        <f>COUNTIF('GV-1'!C26,"Không làm được")+COUNTIF('GV-2'!C26,"Không làm được")+COUNTIF('GV-3'!C26,"Không làm được")</f>
        <v/>
      </c>
      <c r="E22" s="23">
        <f>COUNTIF('GV-1'!C26,"Đạt")+COUNTIF('GV-2'!C26,"Đạt")+COUNTIF('GV-3'!C26,"Đạt")</f>
        <v/>
      </c>
      <c r="F22" s="11">
        <f>IF(C22+D22&gt;=3,"CAO — cả 3 người",IF(C22+D22=2,"Vừa — 2 người",IF(C22+D22=1,"Thấp — 1 người","")))</f>
        <v/>
      </c>
    </row>
    <row r="23" ht="28" customHeight="1">
      <c r="A23" s="11" t="n">
        <v>19</v>
      </c>
      <c r="B23" s="13" t="inlineStr">
        <is>
          <t>Bấm 'Xem bài'</t>
        </is>
      </c>
      <c r="C23" s="23">
        <f>COUNTIF('GV-1'!C27,"Không đạt")+COUNTIF('GV-2'!C27,"Không đạt")+COUNTIF('GV-3'!C27,"Không đạt")</f>
        <v/>
      </c>
      <c r="D23" s="23">
        <f>COUNTIF('GV-1'!C27,"Không làm được")+COUNTIF('GV-2'!C27,"Không làm được")+COUNTIF('GV-3'!C27,"Không làm được")</f>
        <v/>
      </c>
      <c r="E23" s="23">
        <f>COUNTIF('GV-1'!C27,"Đạt")+COUNTIF('GV-2'!C27,"Đạt")+COUNTIF('GV-3'!C27,"Đạt")</f>
        <v/>
      </c>
      <c r="F23" s="11">
        <f>IF(C23+D23&gt;=3,"CAO — cả 3 người",IF(C23+D23=2,"Vừa — 2 người",IF(C23+D23=1,"Thấp — 1 người","")))</f>
        <v/>
      </c>
    </row>
    <row r="24" ht="28" customHeight="1">
      <c r="A24" s="11" t="n">
        <v>20</v>
      </c>
      <c r="B24" s="13" t="inlineStr">
        <is>
          <t>Gõ lời nhắn rồi bấm 'Cho làm lại'</t>
        </is>
      </c>
      <c r="C24" s="23">
        <f>COUNTIF('GV-1'!C28,"Không đạt")+COUNTIF('GV-2'!C28,"Không đạt")+COUNTIF('GV-3'!C28,"Không đạt")</f>
        <v/>
      </c>
      <c r="D24" s="23">
        <f>COUNTIF('GV-1'!C28,"Không làm được")+COUNTIF('GV-2'!C28,"Không làm được")+COUNTIF('GV-3'!C28,"Không làm được")</f>
        <v/>
      </c>
      <c r="E24" s="23">
        <f>COUNTIF('GV-1'!C28,"Đạt")+COUNTIF('GV-2'!C28,"Đạt")+COUNTIF('GV-3'!C28,"Đạt")</f>
        <v/>
      </c>
      <c r="F24" s="11">
        <f>IF(C24+D24&gt;=3,"CAO — cả 3 người",IF(C24+D24=2,"Vừa — 2 người",IF(C24+D24=1,"Thấp — 1 người","")))</f>
        <v/>
      </c>
    </row>
    <row r="25" ht="28" customHeight="1">
      <c r="A25" s="11" t="n">
        <v>21</v>
      </c>
      <c r="B25" s="13" t="inlineStr">
        <is>
          <t>Đăng nhập lại tài khoản HỌC SINH, mở lộ trình</t>
        </is>
      </c>
      <c r="C25" s="23">
        <f>COUNTIF('GV-1'!C29,"Không đạt")+COUNTIF('GV-2'!C29,"Không đạt")+COUNTIF('GV-3'!C29,"Không đạt")</f>
        <v/>
      </c>
      <c r="D25" s="23">
        <f>COUNTIF('GV-1'!C29,"Không làm được")+COUNTIF('GV-2'!C29,"Không làm được")+COUNTIF('GV-3'!C29,"Không làm được")</f>
        <v/>
      </c>
      <c r="E25" s="23">
        <f>COUNTIF('GV-1'!C29,"Đạt")+COUNTIF('GV-2'!C29,"Đạt")+COUNTIF('GV-3'!C29,"Đạt")</f>
        <v/>
      </c>
      <c r="F25" s="11">
        <f>IF(C25+D25&gt;=3,"CAO — cả 3 người",IF(C25+D25=2,"Vừa — 2 người",IF(C25+D25=1,"Thấp — 1 người","")))</f>
        <v/>
      </c>
    </row>
    <row r="26" ht="28" customHeight="1">
      <c r="A26" s="11" t="n">
        <v>22</v>
      </c>
      <c r="B26" s="13" t="inlineStr">
        <is>
          <t>Nhìn dấu chân của bài đó trên lộ trình</t>
        </is>
      </c>
      <c r="C26" s="23">
        <f>COUNTIF('GV-1'!C30,"Không đạt")+COUNTIF('GV-2'!C30,"Không đạt")+COUNTIF('GV-3'!C30,"Không đạt")</f>
        <v/>
      </c>
      <c r="D26" s="23">
        <f>COUNTIF('GV-1'!C30,"Không làm được")+COUNTIF('GV-2'!C30,"Không làm được")+COUNTIF('GV-3'!C30,"Không làm được")</f>
        <v/>
      </c>
      <c r="E26" s="23">
        <f>COUNTIF('GV-1'!C30,"Đạt")+COUNTIF('GV-2'!C30,"Đạt")+COUNTIF('GV-3'!C30,"Đạt")</f>
        <v/>
      </c>
      <c r="F26" s="11">
        <f>IF(C26+D26&gt;=3,"CAO — cả 3 người",IF(C26+D26=2,"Vừa — 2 người",IF(C26+D26=1,"Thấp — 1 người","")))</f>
        <v/>
      </c>
    </row>
    <row r="27" ht="28" customHeight="1">
      <c r="A27" s="11" t="n">
        <v>23</v>
      </c>
      <c r="B27" s="13" t="inlineStr">
        <is>
          <t>Vào lại bài đó, nộp một ảnh khác, rồi tải lại trang lộ trình</t>
        </is>
      </c>
      <c r="C27" s="23">
        <f>COUNTIF('GV-1'!C31,"Không đạt")+COUNTIF('GV-2'!C31,"Không đạt")+COUNTIF('GV-3'!C31,"Không đạt")</f>
        <v/>
      </c>
      <c r="D27" s="23">
        <f>COUNTIF('GV-1'!C31,"Không làm được")+COUNTIF('GV-2'!C31,"Không làm được")+COUNTIF('GV-3'!C31,"Không làm được")</f>
        <v/>
      </c>
      <c r="E27" s="23">
        <f>COUNTIF('GV-1'!C31,"Đạt")+COUNTIF('GV-2'!C31,"Đạt")+COUNTIF('GV-3'!C31,"Đạt")</f>
        <v/>
      </c>
      <c r="F27" s="11">
        <f>IF(C27+D27&gt;=3,"CAO — cả 3 người",IF(C27+D27=2,"Vừa — 2 người",IF(C27+D27=1,"Thấp — 1 người","")))</f>
        <v/>
      </c>
    </row>
    <row r="28" ht="28" customHeight="1">
      <c r="A28" s="11" t="n">
        <v>24</v>
      </c>
      <c r="B28" s="13" t="inlineStr">
        <is>
          <t>Giáo viên: vào tab Chấm bài, bấm 'Đạt' cho bài mới nộp</t>
        </is>
      </c>
      <c r="C28" s="23">
        <f>COUNTIF('GV-1'!C32,"Không đạt")+COUNTIF('GV-2'!C32,"Không đạt")+COUNTIF('GV-3'!C32,"Không đạt")</f>
        <v/>
      </c>
      <c r="D28" s="23">
        <f>COUNTIF('GV-1'!C32,"Không làm được")+COUNTIF('GV-2'!C32,"Không làm được")+COUNTIF('GV-3'!C32,"Không làm được")</f>
        <v/>
      </c>
      <c r="E28" s="23">
        <f>COUNTIF('GV-1'!C32,"Đạt")+COUNTIF('GV-2'!C32,"Đạt")+COUNTIF('GV-3'!C32,"Đạt")</f>
        <v/>
      </c>
      <c r="F28" s="11">
        <f>IF(C28+D28&gt;=3,"CAO — cả 3 người",IF(C28+D28=2,"Vừa — 2 người",IF(C28+D28=1,"Thấp — 1 người","")))</f>
        <v/>
      </c>
    </row>
    <row r="29" ht="28" customHeight="1">
      <c r="A29" s="11" t="n">
        <v>25</v>
      </c>
      <c r="B29" s="13" t="inlineStr">
        <is>
          <t>Học sinh: mở lại app xem điểm XP / trạng thái bài</t>
        </is>
      </c>
      <c r="C29" s="23">
        <f>COUNTIF('GV-1'!C33,"Không đạt")+COUNTIF('GV-2'!C33,"Không đạt")+COUNTIF('GV-3'!C33,"Không đạt")</f>
        <v/>
      </c>
      <c r="D29" s="23">
        <f>COUNTIF('GV-1'!C33,"Không làm được")+COUNTIF('GV-2'!C33,"Không làm được")+COUNTIF('GV-3'!C33,"Không làm được")</f>
        <v/>
      </c>
      <c r="E29" s="23">
        <f>COUNTIF('GV-1'!C33,"Đạt")+COUNTIF('GV-2'!C33,"Đạt")+COUNTIF('GV-3'!C33,"Đạt")</f>
        <v/>
      </c>
      <c r="F29" s="11">
        <f>IF(C29+D29&gt;=3,"CAO — cả 3 người",IF(C29+D29=2,"Vừa — 2 người",IF(C29+D29=1,"Thấp — 1 người","")))</f>
        <v/>
      </c>
    </row>
    <row r="30" ht="28" customHeight="1">
      <c r="A30" s="11" t="n">
        <v>26</v>
      </c>
      <c r="B30" s="13" t="inlineStr">
        <is>
          <t>Đăng nhập tài khoản PHỤ HUYNH của bạn</t>
        </is>
      </c>
      <c r="C30" s="23">
        <f>COUNTIF('GV-1'!C34,"Không đạt")+COUNTIF('GV-2'!C34,"Không đạt")+COUNTIF('GV-3'!C34,"Không đạt")</f>
        <v/>
      </c>
      <c r="D30" s="23">
        <f>COUNTIF('GV-1'!C34,"Không làm được")+COUNTIF('GV-2'!C34,"Không làm được")+COUNTIF('GV-3'!C34,"Không làm được")</f>
        <v/>
      </c>
      <c r="E30" s="23">
        <f>COUNTIF('GV-1'!C34,"Đạt")+COUNTIF('GV-2'!C34,"Đạt")+COUNTIF('GV-3'!C34,"Đạt")</f>
        <v/>
      </c>
      <c r="F30" s="11">
        <f>IF(C30+D30&gt;=3,"CAO — cả 3 người",IF(C30+D30=2,"Vừa — 2 người",IF(C30+D30=1,"Thấp — 1 người","")))</f>
        <v/>
      </c>
    </row>
    <row r="33">
      <c r="A33" s="19" t="inlineStr">
        <is>
          <t>Quan sát thêm — đếm theo mức độ</t>
        </is>
      </c>
    </row>
    <row r="34">
      <c r="A34" s="6" t="inlineStr">
        <is>
          <t>Mức độ</t>
        </is>
      </c>
      <c r="B34" s="6" t="inlineStr">
        <is>
          <t>GV-1</t>
        </is>
      </c>
      <c r="C34" s="6" t="inlineStr">
        <is>
          <t>GV-2</t>
        </is>
      </c>
      <c r="D34" s="6" t="inlineStr">
        <is>
          <t>GV-3</t>
        </is>
      </c>
      <c r="E34" s="6" t="inlineStr">
        <is>
          <t>Tổng</t>
        </is>
      </c>
    </row>
    <row r="35">
      <c r="A35" s="24" t="inlineStr">
        <is>
          <t>Chặn</t>
        </is>
      </c>
      <c r="B35" s="25">
        <f>COUNTIF('GV-1'!E9:E34,"Chặn")+COUNTIF('GV-1'!E39:E63,"Chặn")</f>
        <v/>
      </c>
      <c r="C35" s="25">
        <f>COUNTIF('GV-2'!E9:E34,"Chặn")+COUNTIF('GV-2'!E39:E63,"Chặn")</f>
        <v/>
      </c>
      <c r="D35" s="25">
        <f>COUNTIF('GV-3'!E9:E34,"Chặn")+COUNTIF('GV-3'!E39:E63,"Chặn")</f>
        <v/>
      </c>
      <c r="E35" s="11">
        <f>SUM(B35:D35)</f>
        <v/>
      </c>
    </row>
    <row r="36">
      <c r="A36" s="24" t="inlineStr">
        <is>
          <t>Nặng</t>
        </is>
      </c>
      <c r="B36" s="25">
        <f>COUNTIF('GV-1'!E9:E34,"Nặng")+COUNTIF('GV-1'!E39:E63,"Nặng")</f>
        <v/>
      </c>
      <c r="C36" s="25">
        <f>COUNTIF('GV-2'!E9:E34,"Nặng")+COUNTIF('GV-2'!E39:E63,"Nặng")</f>
        <v/>
      </c>
      <c r="D36" s="25">
        <f>COUNTIF('GV-3'!E9:E34,"Nặng")+COUNTIF('GV-3'!E39:E63,"Nặng")</f>
        <v/>
      </c>
      <c r="E36" s="11">
        <f>SUM(B36:D36)</f>
        <v/>
      </c>
    </row>
    <row r="37">
      <c r="A37" s="24" t="inlineStr">
        <is>
          <t>Nhẹ</t>
        </is>
      </c>
      <c r="B37" s="25">
        <f>COUNTIF('GV-1'!E9:E34,"Nhẹ")+COUNTIF('GV-1'!E39:E63,"Nhẹ")</f>
        <v/>
      </c>
      <c r="C37" s="25">
        <f>COUNTIF('GV-2'!E9:E34,"Nhẹ")+COUNTIF('GV-2'!E39:E63,"Nhẹ")</f>
        <v/>
      </c>
      <c r="D37" s="25">
        <f>COUNTIF('GV-3'!E9:E34,"Nhẹ")+COUNTIF('GV-3'!E39:E63,"Nhẹ")</f>
        <v/>
      </c>
      <c r="E37" s="11">
        <f>SUM(B37:D37)</f>
        <v/>
      </c>
    </row>
    <row r="38">
      <c r="A38" s="24" t="inlineStr">
        <is>
          <t>Góp ý</t>
        </is>
      </c>
      <c r="B38" s="25">
        <f>COUNTIF('GV-1'!E9:E34,"Góp ý")+COUNTIF('GV-1'!E39:E63,"Góp ý")</f>
        <v/>
      </c>
      <c r="C38" s="25">
        <f>COUNTIF('GV-2'!E9:E34,"Góp ý")+COUNTIF('GV-2'!E39:E63,"Góp ý")</f>
        <v/>
      </c>
      <c r="D38" s="25">
        <f>COUNTIF('GV-3'!E9:E34,"Góp ý")+COUNTIF('GV-3'!E39:E63,"Góp ý")</f>
        <v/>
      </c>
      <c r="E38" s="11">
        <f>SUM(B38:D38)</f>
        <v/>
      </c>
    </row>
    <row r="39">
      <c r="A39" s="24" t="inlineStr">
        <is>
          <t>Lỗi nội dung đã ghi</t>
        </is>
      </c>
      <c r="B39" s="26" t="n"/>
      <c r="C39" s="26" t="n"/>
      <c r="D39" s="26" t="n"/>
      <c r="E39" s="11">
        <f>COUNTA('LỖI NỘI DUNG'!C6:C45)</f>
        <v/>
      </c>
    </row>
  </sheetData>
  <mergeCells count="4">
    <mergeCell ref="A2:F2"/>
    <mergeCell ref="A33:F33"/>
    <mergeCell ref="A1:F1"/>
    <mergeCell ref="A39:D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2026-07-27T08:14:52Z</dcterms:created>
  <dcterms:modified xmlns:dcterms="http://purl.org/dc/terms/" xmlns:xsi="http://www.w3.org/2001/XMLSchema-instance" xsi:type="dcterms:W3CDTF">2026-07-27T08:14:52Z</dcterms:modified>
</cp:coreProperties>
</file>