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'Checklist'!$A$1:$H$116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B7F3B"/>
    </font>
    <font>
      <b val="1"/>
      <color rgb="0026275D"/>
      <sz val="15"/>
    </font>
    <font>
      <i val="1"/>
      <color rgb="005A6B8C"/>
    </font>
    <font>
      <b val="1"/>
      <sz val="12"/>
    </font>
    <font>
      <b val="1"/>
      <color rgb="001B7F3B"/>
      <sz val="30"/>
    </font>
    <font>
      <i val="1"/>
      <color rgb="005A6B8C"/>
      <sz val="9"/>
    </font>
  </fonts>
  <fills count="7">
    <fill>
      <patternFill/>
    </fill>
    <fill>
      <patternFill patternType="gray125"/>
    </fill>
    <fill>
      <patternFill patternType="solid">
        <fgColor rgb="0026275D"/>
      </patternFill>
    </fill>
    <fill>
      <patternFill patternType="solid">
        <fgColor rgb="00F2F4F8"/>
      </patternFill>
    </fill>
    <fill>
      <patternFill patternType="solid">
        <fgColor rgb="00C8E6C9"/>
      </patternFill>
    </fill>
    <fill>
      <patternFill patternType="solid">
        <fgColor rgb="00FFE7A6"/>
      </patternFill>
    </fill>
    <fill>
      <patternFill patternType="solid">
        <fgColor rgb="00E6E9F0"/>
      </patternFill>
    </fill>
  </fills>
  <borders count="2">
    <border>
      <left/>
      <right/>
      <top/>
      <bottom/>
      <diagonal/>
    </border>
    <border>
      <left style="thin">
        <color rgb="00BFC7D6"/>
      </left>
      <right style="thin">
        <color rgb="00BFC7D6"/>
      </right>
      <top style="thin">
        <color rgb="00BFC7D6"/>
      </top>
      <bottom style="thin">
        <color rgb="00BFC7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E7A6"/>
        </patternFill>
      </fill>
    </dxf>
    <dxf>
      <fill>
        <patternFill patternType="solid">
          <fgColor rgb="00E6E9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2" customWidth="1" min="4" max="4"/>
  </cols>
  <sheetData>
    <row r="1">
      <c r="A1" s="1" t="inlineStr">
        <is>
          <t>TIMELINE DỰ ÁN — AI Personal Tutor Trường Việt Anh</t>
        </is>
      </c>
    </row>
    <row r="2">
      <c r="A2" s="2" t="inlineStr">
        <is>
          <t>Bám sát PRD v3 · 100% = Pilot production Việt Anh trọn vẹn (Toán 10 + Anh 10)</t>
        </is>
      </c>
    </row>
    <row r="4">
      <c r="A4" s="3" t="inlineStr">
        <is>
          <t>% HOÀN THÀNH HIỆN TẠI</t>
        </is>
      </c>
    </row>
    <row r="5">
      <c r="A5" s="4">
        <f>Checklist!G117/100</f>
        <v/>
      </c>
    </row>
    <row r="6">
      <c r="A6" s="5" t="inlineStr">
        <is>
          <t>(Xong = 100% trọng số · Đang = 50% · Chưa = 0%. Đổi trạng thái ở Checklist → ô này tự nhảy.)</t>
        </is>
      </c>
    </row>
    <row r="8">
      <c r="A8" s="3" t="inlineStr">
        <is>
          <t>TIẾN ĐỘ THEO KHU VỰC</t>
        </is>
      </c>
    </row>
    <row r="9">
      <c r="A9" s="6" t="inlineStr">
        <is>
          <t>Khu vực</t>
        </is>
      </c>
      <c r="B9" s="6" t="inlineStr">
        <is>
          <t>Trọng số %</t>
        </is>
      </c>
      <c r="C9" s="6" t="inlineStr">
        <is>
          <t>% đạt</t>
        </is>
      </c>
      <c r="D9" s="6" t="inlineStr">
        <is>
          <t>Ghi chú</t>
        </is>
      </c>
    </row>
    <row r="10">
      <c r="A10" s="7" t="inlineStr">
        <is>
          <t>A. Hạ tầng &amp; Schema DB</t>
        </is>
      </c>
      <c r="B10" s="8">
        <f>SUMIF(Checklist!$A$2:$A$116,$A10,Checklist!$E$2:$E$116)</f>
        <v/>
      </c>
      <c r="C10" s="8">
        <f>SUMIF(Checklist!$A$2:$A$116,$A10,Checklist!$G$2:$G$116)</f>
        <v/>
      </c>
      <c r="D10" s="7">
        <f>IF(B10=0,"",TEXT(C10/B10,"0%")&amp;" của khu vực")</f>
        <v/>
      </c>
    </row>
    <row r="11">
      <c r="A11" s="7" t="inlineStr">
        <is>
          <t>B. Auth &amp; RBAC</t>
        </is>
      </c>
      <c r="B11" s="8">
        <f>SUMIF(Checklist!$A$2:$A$116,$A11,Checklist!$E$2:$E$116)</f>
        <v/>
      </c>
      <c r="C11" s="8">
        <f>SUMIF(Checklist!$A$2:$A$116,$A11,Checklist!$G$2:$G$116)</f>
        <v/>
      </c>
      <c r="D11" s="7">
        <f>IF(B11=0,"",TEXT(C11/B11,"0%")&amp;" của khu vực")</f>
        <v/>
      </c>
    </row>
    <row r="12">
      <c r="A12" s="7" t="inlineStr">
        <is>
          <t>C. Engine sư phạm</t>
        </is>
      </c>
      <c r="B12" s="8">
        <f>SUMIF(Checklist!$A$2:$A$116,$A12,Checklist!$E$2:$E$116)</f>
        <v/>
      </c>
      <c r="C12" s="8">
        <f>SUMIF(Checklist!$A$2:$A$116,$A12,Checklist!$G$2:$G$116)</f>
        <v/>
      </c>
      <c r="D12" s="7">
        <f>IF(B12=0,"",TEXT(C12/B12,"0%")&amp;" của khu vực")</f>
        <v/>
      </c>
    </row>
    <row r="13">
      <c r="A13" s="7" t="inlineStr">
        <is>
          <t>D. Nội dung Toán 10</t>
        </is>
      </c>
      <c r="B13" s="8">
        <f>SUMIF(Checklist!$A$2:$A$116,$A13,Checklist!$E$2:$E$116)</f>
        <v/>
      </c>
      <c r="C13" s="8">
        <f>SUMIF(Checklist!$A$2:$A$116,$A13,Checklist!$G$2:$G$116)</f>
        <v/>
      </c>
      <c r="D13" s="7">
        <f>IF(B13=0,"",TEXT(C13/B13,"0%")&amp;" của khu vực")</f>
        <v/>
      </c>
    </row>
    <row r="14">
      <c r="A14" s="7" t="inlineStr">
        <is>
          <t>E. Nội dung Tiếng Anh 10</t>
        </is>
      </c>
      <c r="B14" s="8">
        <f>SUMIF(Checklist!$A$2:$A$116,$A14,Checklist!$E$2:$E$116)</f>
        <v/>
      </c>
      <c r="C14" s="8">
        <f>SUMIF(Checklist!$A$2:$A$116,$A14,Checklist!$G$2:$G$116)</f>
        <v/>
      </c>
      <c r="D14" s="7">
        <f>IF(B14=0,"",TEXT(C14/B14,"0%")&amp;" của khu vực")</f>
        <v/>
      </c>
    </row>
    <row r="15">
      <c r="A15" s="7" t="inlineStr">
        <is>
          <t>F. Dạng câu &amp; chấm</t>
        </is>
      </c>
      <c r="B15" s="8">
        <f>SUMIF(Checklist!$A$2:$A$116,$A15,Checklist!$E$2:$E$116)</f>
        <v/>
      </c>
      <c r="C15" s="8">
        <f>SUMIF(Checklist!$A$2:$A$116,$A15,Checklist!$G$2:$G$116)</f>
        <v/>
      </c>
      <c r="D15" s="7">
        <f>IF(B15=0,"",TEXT(C15/B15,"0%")&amp;" của khu vực")</f>
        <v/>
      </c>
    </row>
    <row r="16">
      <c r="A16" s="7" t="inlineStr">
        <is>
          <t>G. UX học sinh</t>
        </is>
      </c>
      <c r="B16" s="8">
        <f>SUMIF(Checklist!$A$2:$A$116,$A16,Checklist!$E$2:$E$116)</f>
        <v/>
      </c>
      <c r="C16" s="8">
        <f>SUMIF(Checklist!$A$2:$A$116,$A16,Checklist!$G$2:$G$116)</f>
        <v/>
      </c>
      <c r="D16" s="7">
        <f>IF(B16=0,"",TEXT(C16/B16,"0%")&amp;" của khu vực")</f>
        <v/>
      </c>
    </row>
    <row r="17">
      <c r="A17" s="7" t="inlineStr">
        <is>
          <t>H. Công cụ Giáo viên</t>
        </is>
      </c>
      <c r="B17" s="8">
        <f>SUMIF(Checklist!$A$2:$A$116,$A17,Checklist!$E$2:$E$116)</f>
        <v/>
      </c>
      <c r="C17" s="8">
        <f>SUMIF(Checklist!$A$2:$A$116,$A17,Checklist!$G$2:$G$116)</f>
        <v/>
      </c>
      <c r="D17" s="7">
        <f>IF(B17=0,"",TEXT(C17/B17,"0%")&amp;" của khu vực")</f>
        <v/>
      </c>
    </row>
    <row r="18">
      <c r="A18" s="7" t="inlineStr">
        <is>
          <t>I. Phụ huynh</t>
        </is>
      </c>
      <c r="B18" s="8">
        <f>SUMIF(Checklist!$A$2:$A$116,$A18,Checklist!$E$2:$E$116)</f>
        <v/>
      </c>
      <c r="C18" s="8">
        <f>SUMIF(Checklist!$A$2:$A$116,$A18,Checklist!$G$2:$G$116)</f>
        <v/>
      </c>
      <c r="D18" s="7">
        <f>IF(B18=0,"",TEXT(C18/B18,"0%")&amp;" của khu vực")</f>
        <v/>
      </c>
    </row>
    <row r="19">
      <c r="A19" s="7" t="inlineStr">
        <is>
          <t>J. Admin &amp; vận hành</t>
        </is>
      </c>
      <c r="B19" s="8">
        <f>SUMIF(Checklist!$A$2:$A$116,$A19,Checklist!$E$2:$E$116)</f>
        <v/>
      </c>
      <c r="C19" s="8">
        <f>SUMIF(Checklist!$A$2:$A$116,$A19,Checklist!$G$2:$G$116)</f>
        <v/>
      </c>
      <c r="D19" s="7">
        <f>IF(B19=0,"",TEXT(C19/B19,"0%")&amp;" của khu vực")</f>
        <v/>
      </c>
    </row>
    <row r="20">
      <c r="A20" s="7" t="inlineStr">
        <is>
          <t>K. PDPL tuân thủ</t>
        </is>
      </c>
      <c r="B20" s="8">
        <f>SUMIF(Checklist!$A$2:$A$116,$A20,Checklist!$E$2:$E$116)</f>
        <v/>
      </c>
      <c r="C20" s="8">
        <f>SUMIF(Checklist!$A$2:$A$116,$A20,Checklist!$G$2:$G$116)</f>
        <v/>
      </c>
      <c r="D20" s="7">
        <f>IF(B20=0,"",TEXT(C20/B20,"0%")&amp;" của khu vực")</f>
        <v/>
      </c>
    </row>
    <row r="21">
      <c r="A21" s="7" t="inlineStr">
        <is>
          <t>L. Nhà máy nội dung</t>
        </is>
      </c>
      <c r="B21" s="8">
        <f>SUMIF(Checklist!$A$2:$A$116,$A21,Checklist!$E$2:$E$116)</f>
        <v/>
      </c>
      <c r="C21" s="8">
        <f>SUMIF(Checklist!$A$2:$A$116,$A21,Checklist!$G$2:$G$116)</f>
        <v/>
      </c>
      <c r="D21" s="7">
        <f>IF(B21=0,"",TEXT(C21/B21,"0%")&amp;" của khu vực")</f>
        <v/>
      </c>
    </row>
    <row r="22">
      <c r="A22" s="7" t="inlineStr">
        <is>
          <t>M. Gamification &amp; báo cáo</t>
        </is>
      </c>
      <c r="B22" s="8">
        <f>SUMIF(Checklist!$A$2:$A$116,$A22,Checklist!$E$2:$E$116)</f>
        <v/>
      </c>
      <c r="C22" s="8">
        <f>SUMIF(Checklist!$A$2:$A$116,$A22,Checklist!$G$2:$G$116)</f>
        <v/>
      </c>
      <c r="D22" s="7">
        <f>IF(B22=0,"",TEXT(C22/B22,"0%")&amp;" của khu vực")</f>
        <v/>
      </c>
    </row>
    <row r="23">
      <c r="A23" s="7" t="inlineStr">
        <is>
          <t>N. Kiến trúc &amp; triển khai</t>
        </is>
      </c>
      <c r="B23" s="8">
        <f>SUMIF(Checklist!$A$2:$A$116,$A23,Checklist!$E$2:$E$116)</f>
        <v/>
      </c>
      <c r="C23" s="8">
        <f>SUMIF(Checklist!$A$2:$A$116,$A23,Checklist!$G$2:$G$116)</f>
        <v/>
      </c>
      <c r="D23" s="7">
        <f>IF(B23=0,"",TEXT(C23/B23,"0%")&amp;" của khu vực")</f>
        <v/>
      </c>
    </row>
    <row r="24">
      <c r="A24" s="7" t="inlineStr">
        <is>
          <t>O. Đo lường A/B</t>
        </is>
      </c>
      <c r="B24" s="8">
        <f>SUMIF(Checklist!$A$2:$A$116,$A24,Checklist!$E$2:$E$116)</f>
        <v/>
      </c>
      <c r="C24" s="8">
        <f>SUMIF(Checklist!$A$2:$A$116,$A24,Checklist!$G$2:$G$116)</f>
        <v/>
      </c>
      <c r="D24" s="7">
        <f>IF(B24=0,"",TEXT(C24/B24,"0%")&amp;" của khu vực")</f>
        <v/>
      </c>
    </row>
    <row r="25">
      <c r="A25" s="7" t="inlineStr">
        <is>
          <t>P. Nhân bản môn mới</t>
        </is>
      </c>
      <c r="B25" s="8">
        <f>SUMIF(Checklist!$A$2:$A$116,$A25,Checklist!$E$2:$E$116)</f>
        <v/>
      </c>
      <c r="C25" s="8">
        <f>SUMIF(Checklist!$A$2:$A$116,$A25,Checklist!$G$2:$G$116)</f>
        <v/>
      </c>
      <c r="D25" s="7">
        <f>IF(B25=0,"",TEXT(C25/B25,"0%")&amp;" của khu vực")</f>
        <v/>
      </c>
    </row>
    <row r="27">
      <c r="A27" s="3" t="inlineStr">
        <is>
          <t>MỐC LỘ TRÌNH (PRD v3 §12)</t>
        </is>
      </c>
    </row>
    <row r="28">
      <c r="A28" s="6" t="inlineStr">
        <is>
          <t>Mốc</t>
        </is>
      </c>
      <c r="B28" s="6" t="inlineStr">
        <is>
          <t>Trạng thái</t>
        </is>
      </c>
      <c r="C28" s="6" t="inlineStr">
        <is>
          <t>Tiêu chí</t>
        </is>
      </c>
    </row>
    <row r="29">
      <c r="A29" s="7" t="inlineStr">
        <is>
          <t>M0 Sẵn sàng</t>
        </is>
      </c>
      <c r="B29" s="9" t="inlineStr">
        <is>
          <t>Xong</t>
        </is>
      </c>
      <c r="C29" s="7" t="inlineStr">
        <is>
          <t>Supabase + schema v2 + RLS + Studio pipeline</t>
        </is>
      </c>
    </row>
    <row r="30">
      <c r="A30" s="7" t="inlineStr">
        <is>
          <t>M1 Khung KG</t>
        </is>
      </c>
      <c r="B30" s="9" t="inlineStr">
        <is>
          <t>Xong</t>
        </is>
      </c>
      <c r="C30" s="7" t="inlineStr">
        <is>
          <t>Trạm 1–2 xong 1 chương/môn</t>
        </is>
      </c>
    </row>
    <row r="31">
      <c r="A31" s="7" t="inlineStr">
        <is>
          <t>M2 Nguyên mẫu 1 chương trọn 6 trạm</t>
        </is>
      </c>
      <c r="B31" s="9" t="inlineStr">
        <is>
          <t>Xong</t>
        </is>
      </c>
      <c r="C31" s="7" t="inlineStr">
        <is>
          <t>Nạp được vào Supabase</t>
        </is>
      </c>
    </row>
    <row r="32">
      <c r="A32" s="7" t="inlineStr">
        <is>
          <t>M3 Vận hành thử</t>
        </is>
      </c>
      <c r="B32" s="9" t="inlineStr">
        <is>
          <t>Xong</t>
        </is>
      </c>
      <c r="C32" s="7" t="inlineStr">
        <is>
          <t>Chat+Tutor; truy ngược + thang Socratic verify LIVE</t>
        </is>
      </c>
    </row>
    <row r="33">
      <c r="A33" s="7" t="inlineStr">
        <is>
          <t>M4 Phủ 50%/môn + A/B</t>
        </is>
      </c>
      <c r="B33" s="10" t="inlineStr">
        <is>
          <t>Đang</t>
        </is>
      </c>
      <c r="C33" s="7" t="inlineStr">
        <is>
          <t>Toán 10 ~đủ; Anh đang; A/B chưa</t>
        </is>
      </c>
    </row>
    <row r="34">
      <c r="A34" s="7" t="inlineStr">
        <is>
          <t>M5 Phủ trọn Toán 10 + Anh 10 + số liệu</t>
        </is>
      </c>
      <c r="B34" s="11" t="inlineStr">
        <is>
          <t>Chưa</t>
        </is>
      </c>
      <c r="C34" s="7" t="inlineStr">
        <is>
          <t>Đích 100% pilot</t>
        </is>
      </c>
    </row>
    <row r="35">
      <c r="A35" s="7" t="inlineStr">
        <is>
          <t>M6 Nhân bản (GDKTPL…)</t>
        </is>
      </c>
      <c r="B35" s="11" t="inlineStr">
        <is>
          <t>Chưa</t>
        </is>
      </c>
      <c r="C35" s="7" t="inlineStr">
        <is>
          <t>cửa importer đã sẵn — v-next</t>
        </is>
      </c>
    </row>
    <row r="37">
      <c r="A37" s="3" t="inlineStr">
        <is>
          <t>ĐẠT 100% NGHĨA LÀ (PRD v3 §14)</t>
        </is>
      </c>
    </row>
    <row r="38">
      <c r="A38" s="12" t="inlineStr">
        <is>
          <t>1. Nội dung: Toán 10 + Tiếng Anh 10 phủ trọn, 'Đã phát hành', có thống kê câu.</t>
        </is>
      </c>
    </row>
    <row r="39">
      <c r="A39" s="12" t="inlineStr">
        <is>
          <t>2. Engine + 17 dạng câu chạy đúng end-to-end trên production.</t>
        </is>
      </c>
    </row>
    <row r="40">
      <c r="A40" s="12" t="inlineStr">
        <is>
          <t>3. Đủ vai &amp; công cụ: HS học · GV theo dõi/duyệt/điều chỉnh · PH xem tiến độ · Admin cảnh báo.</t>
        </is>
      </c>
    </row>
    <row r="41">
      <c r="A41" s="12" t="inlineStr">
        <is>
          <t>4. Tuân thủ PDPL đầy đủ (đồng thuận kép + rút đồng ý + ẩn danh) + gamification nỗ lực.</t>
        </is>
      </c>
    </row>
    <row r="42">
      <c r="A42" s="12" t="inlineStr">
        <is>
          <t>5. Đo hiệu quả A/B + nhà máy nội dung vận hành để nhân bản môn kế.</t>
        </is>
      </c>
    </row>
    <row r="43">
      <c r="A43" s="12" t="inlineStr">
        <is>
          <t>Ngoài 100% (v-next): IRT/CAT + Knowledge Tracing · SSO/Classroom/OCR · báo cáo Zalo · nhân bản đa môn.</t>
        </is>
      </c>
    </row>
    <row r="45">
      <c r="A45" s="2" t="inlineStr">
        <is>
          <t>CHÚ THÍCH:  Xong = 100% trọng số  ·  Đang = 50%  ·  Chưa = 0%  ·  mỗi đầu việc ≤ 3%  ·  tổng = 100%</t>
        </is>
      </c>
    </row>
  </sheetData>
  <mergeCells count="6">
    <mergeCell ref="A40:D40"/>
    <mergeCell ref="A38:D38"/>
    <mergeCell ref="A39:D39"/>
    <mergeCell ref="A43:D43"/>
    <mergeCell ref="A41:D41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58" customWidth="1" min="3" max="3"/>
    <col width="7" customWidth="1" min="4" max="4"/>
    <col width="11" customWidth="1" min="5" max="5"/>
    <col width="11" customWidth="1" min="6" max="6"/>
    <col width="9" customWidth="1" min="7" max="7"/>
    <col width="34" customWidth="1" min="8" max="8"/>
  </cols>
  <sheetData>
    <row r="1">
      <c r="A1" s="6" t="inlineStr">
        <is>
          <t>Khu vực</t>
        </is>
      </c>
      <c r="B1" s="6" t="inlineStr">
        <is>
          <t>Mã</t>
        </is>
      </c>
      <c r="C1" s="6" t="inlineStr">
        <is>
          <t>Đầu việc</t>
        </is>
      </c>
      <c r="D1" s="6" t="inlineStr">
        <is>
          <t>Điểm</t>
        </is>
      </c>
      <c r="E1" s="6" t="inlineStr">
        <is>
          <t>Trọng số %</t>
        </is>
      </c>
      <c r="F1" s="6" t="inlineStr">
        <is>
          <t>Trạng thái</t>
        </is>
      </c>
      <c r="G1" s="6" t="inlineStr">
        <is>
          <t>% đạt</t>
        </is>
      </c>
      <c r="H1" s="6" t="inlineStr">
        <is>
          <t>Ghi chú</t>
        </is>
      </c>
    </row>
    <row r="2">
      <c r="A2" s="7" t="inlineStr">
        <is>
          <t>A. Hạ tầng &amp; Schema DB</t>
        </is>
      </c>
      <c r="B2" s="13" t="inlineStr">
        <is>
          <t>A1</t>
        </is>
      </c>
      <c r="C2" s="7" t="inlineStr">
        <is>
          <t>Tạo Supabase project production + Postgres</t>
        </is>
      </c>
      <c r="D2" s="13" t="n">
        <v>1</v>
      </c>
      <c r="E2" s="8">
        <f>D2/SUM($D$2:$D$116)*100</f>
        <v/>
      </c>
      <c r="F2" s="13" t="inlineStr">
        <is>
          <t>Xong</t>
        </is>
      </c>
      <c r="G2" s="8">
        <f>E2*IF(F2="Xong",1,IF(F2="Đang",0.5,0))</f>
        <v/>
      </c>
      <c r="H2" s="7" t="inlineStr"/>
    </row>
    <row r="3">
      <c r="A3" s="7" t="inlineStr">
        <is>
          <t>A. Hạ tầng &amp; Schema DB</t>
        </is>
      </c>
      <c r="B3" s="13" t="inlineStr">
        <is>
          <t>A2</t>
        </is>
      </c>
      <c r="C3" s="7" t="inlineStr">
        <is>
          <t>Bảng KG core (kg_versions/nodes/edges/node_tiers) theo schema v2</t>
        </is>
      </c>
      <c r="D3" s="13" t="n">
        <v>2</v>
      </c>
      <c r="E3" s="8">
        <f>D3/SUM($D$2:$D$116)*100</f>
        <v/>
      </c>
      <c r="F3" s="13" t="inlineStr">
        <is>
          <t>Xong</t>
        </is>
      </c>
      <c r="G3" s="8">
        <f>E3*IF(F3="Xong",1,IF(F3="Đang",0.5,0))</f>
        <v/>
      </c>
      <c r="H3" s="7" t="inlineStr"/>
    </row>
    <row r="4">
      <c r="A4" s="7" t="inlineStr">
        <is>
          <t>A. Hạ tầng &amp; Schema DB</t>
        </is>
      </c>
      <c r="B4" s="13" t="inlineStr">
        <is>
          <t>A3</t>
        </is>
      </c>
      <c r="C4" s="7" t="inlineStr">
        <is>
          <t>Bảng resources + cột embedding pgvector</t>
        </is>
      </c>
      <c r="D4" s="13" t="n">
        <v>1</v>
      </c>
      <c r="E4" s="8">
        <f>D4/SUM($D$2:$D$116)*100</f>
        <v/>
      </c>
      <c r="F4" s="13" t="inlineStr">
        <is>
          <t>Xong</t>
        </is>
      </c>
      <c r="G4" s="8">
        <f>E4*IF(F4="Xong",1,IF(F4="Đang",0.5,0))</f>
        <v/>
      </c>
      <c r="H4" s="7" t="inlineStr"/>
    </row>
    <row r="5">
      <c r="A5" s="7" t="inlineStr">
        <is>
          <t>A. Hạ tầng &amp; Schema DB</t>
        </is>
      </c>
      <c r="B5" s="13" t="inlineStr">
        <is>
          <t>A4</t>
        </is>
      </c>
      <c r="C5" s="7" t="inlineStr">
        <is>
          <t>Bảng questions (DOK+độ khó tách, distractor, tham số, stats)</t>
        </is>
      </c>
      <c r="D5" s="13" t="n">
        <v>2</v>
      </c>
      <c r="E5" s="8">
        <f>D5/SUM($D$2:$D$116)*100</f>
        <v/>
      </c>
      <c r="F5" s="13" t="inlineStr">
        <is>
          <t>Xong</t>
        </is>
      </c>
      <c r="G5" s="8">
        <f>E5*IF(F5="Xong",1,IF(F5="Đang",0.5,0))</f>
        <v/>
      </c>
      <c r="H5" s="7" t="inlineStr"/>
    </row>
    <row r="6">
      <c r="A6" s="7" t="inlineStr">
        <is>
          <t>A. Hạ tầng &amp; Schema DB</t>
        </is>
      </c>
      <c r="B6" s="13" t="inlineStr">
        <is>
          <t>A5</t>
        </is>
      </c>
      <c r="C6" s="7" t="inlineStr">
        <is>
          <t>Bảng socratic_ladders (rungs/bottom_out/cổng nỗ lực)</t>
        </is>
      </c>
      <c r="D6" s="13" t="n">
        <v>1</v>
      </c>
      <c r="E6" s="8">
        <f>D6/SUM($D$2:$D$116)*100</f>
        <v/>
      </c>
      <c r="F6" s="13" t="inlineStr">
        <is>
          <t>Xong</t>
        </is>
      </c>
      <c r="G6" s="8">
        <f>E6*IF(F6="Xong",1,IF(F6="Đang",0.5,0))</f>
        <v/>
      </c>
      <c r="H6" s="7" t="inlineStr"/>
    </row>
    <row r="7">
      <c r="A7" s="7" t="inlineStr">
        <is>
          <t>A. Hạ tầng &amp; Schema DB</t>
        </is>
      </c>
      <c r="B7" s="13" t="inlineStr">
        <is>
          <t>A6</t>
        </is>
      </c>
      <c r="C7" s="7" t="inlineStr">
        <is>
          <t>Bảng vận hành (sessions/attempts/mastery_evidence/node_state)</t>
        </is>
      </c>
      <c r="D7" s="13" t="n">
        <v>2</v>
      </c>
      <c r="E7" s="8">
        <f>D7/SUM($D$2:$D$116)*100</f>
        <v/>
      </c>
      <c r="F7" s="13" t="inlineStr">
        <is>
          <t>Xong</t>
        </is>
      </c>
      <c r="G7" s="8">
        <f>E7*IF(F7="Xong",1,IF(F7="Đang",0.5,0))</f>
        <v/>
      </c>
      <c r="H7" s="7" t="inlineStr"/>
    </row>
    <row r="8">
      <c r="A8" s="7" t="inlineStr">
        <is>
          <t>A. Hạ tầng &amp; Schema DB</t>
        </is>
      </c>
      <c r="B8" s="13" t="inlineStr">
        <is>
          <t>A7</t>
        </is>
      </c>
      <c r="C8" s="7" t="inlineStr">
        <is>
          <t>Bảng consent/audit_logs/token_usage/flags/review_queue/overrides</t>
        </is>
      </c>
      <c r="D8" s="13" t="n">
        <v>2</v>
      </c>
      <c r="E8" s="8">
        <f>D8/SUM($D$2:$D$116)*100</f>
        <v/>
      </c>
      <c r="F8" s="13" t="inlineStr">
        <is>
          <t>Xong</t>
        </is>
      </c>
      <c r="G8" s="8">
        <f>E8*IF(F8="Xong",1,IF(F8="Đang",0.5,0))</f>
        <v/>
      </c>
      <c r="H8" s="7" t="inlineStr"/>
    </row>
    <row r="9">
      <c r="A9" s="7" t="inlineStr">
        <is>
          <t>A. Hạ tầng &amp; Schema DB</t>
        </is>
      </c>
      <c r="B9" s="13" t="inlineStr">
        <is>
          <t>A8</t>
        </is>
      </c>
      <c r="C9" s="7" t="inlineStr">
        <is>
          <t>Bảng student_xp + classes + user_roles</t>
        </is>
      </c>
      <c r="D9" s="13" t="n">
        <v>1</v>
      </c>
      <c r="E9" s="8">
        <f>D9/SUM($D$2:$D$116)*100</f>
        <v/>
      </c>
      <c r="F9" s="13" t="inlineStr">
        <is>
          <t>Xong</t>
        </is>
      </c>
      <c r="G9" s="8">
        <f>E9*IF(F9="Xong",1,IF(F9="Đang",0.5,0))</f>
        <v/>
      </c>
      <c r="H9" s="7" t="inlineStr"/>
    </row>
    <row r="10">
      <c r="A10" s="7" t="inlineStr">
        <is>
          <t>A. Hạ tầng &amp; Schema DB</t>
        </is>
      </c>
      <c r="B10" s="13" t="inlineStr">
        <is>
          <t>A9</t>
        </is>
      </c>
      <c r="C10" s="7" t="inlineStr">
        <is>
          <t>Migrations 0001–0011 hợp nhất, versioned</t>
        </is>
      </c>
      <c r="D10" s="13" t="n">
        <v>1</v>
      </c>
      <c r="E10" s="8">
        <f>D10/SUM($D$2:$D$116)*100</f>
        <v/>
      </c>
      <c r="F10" s="13" t="inlineStr">
        <is>
          <t>Xong</t>
        </is>
      </c>
      <c r="G10" s="8">
        <f>E10*IF(F10="Xong",1,IF(F10="Đang",0.5,0))</f>
        <v/>
      </c>
      <c r="H10" s="7" t="inlineStr"/>
    </row>
    <row r="11">
      <c r="A11" s="7" t="inlineStr">
        <is>
          <t>A. Hạ tầng &amp; Schema DB</t>
        </is>
      </c>
      <c r="B11" s="13" t="inlineStr">
        <is>
          <t>A10</t>
        </is>
      </c>
      <c r="C11" s="7" t="inlineStr">
        <is>
          <t>Auth provisioning trigger (handle_new_user, domain-gate)</t>
        </is>
      </c>
      <c r="D11" s="13" t="n">
        <v>1</v>
      </c>
      <c r="E11" s="8">
        <f>D11/SUM($D$2:$D$116)*100</f>
        <v/>
      </c>
      <c r="F11" s="13" t="inlineStr">
        <is>
          <t>Xong</t>
        </is>
      </c>
      <c r="G11" s="8">
        <f>E11*IF(F11="Xong",1,IF(F11="Đang",0.5,0))</f>
        <v/>
      </c>
      <c r="H11" s="7" t="inlineStr"/>
    </row>
    <row r="12">
      <c r="A12" s="7" t="inlineStr">
        <is>
          <t>B. Auth &amp; RBAC</t>
        </is>
      </c>
      <c r="B12" s="13" t="inlineStr">
        <is>
          <t>B1</t>
        </is>
      </c>
      <c r="C12" s="7" t="inlineStr">
        <is>
          <t>Google SSO (skipBrowserRedirect + navigate)</t>
        </is>
      </c>
      <c r="D12" s="13" t="n">
        <v>1</v>
      </c>
      <c r="E12" s="8">
        <f>D12/SUM($D$2:$D$116)*100</f>
        <v/>
      </c>
      <c r="F12" s="13" t="inlineStr">
        <is>
          <t>Xong</t>
        </is>
      </c>
      <c r="G12" s="8">
        <f>E12*IF(F12="Xong",1,IF(F12="Đang",0.5,0))</f>
        <v/>
      </c>
      <c r="H12" s="7" t="inlineStr"/>
    </row>
    <row r="13">
      <c r="A13" s="7" t="inlineStr">
        <is>
          <t>B. Auth &amp; RBAC</t>
        </is>
      </c>
      <c r="B13" s="13" t="inlineStr">
        <is>
          <t>B2</t>
        </is>
      </c>
      <c r="C13" s="7" t="inlineStr">
        <is>
          <t>Parent magic-link (signInWithOtp)</t>
        </is>
      </c>
      <c r="D13" s="13" t="n">
        <v>1</v>
      </c>
      <c r="E13" s="8">
        <f>D13/SUM($D$2:$D$116)*100</f>
        <v/>
      </c>
      <c r="F13" s="13" t="inlineStr">
        <is>
          <t>Xong</t>
        </is>
      </c>
      <c r="G13" s="8">
        <f>E13*IF(F13="Xong",1,IF(F13="Đang",0.5,0))</f>
        <v/>
      </c>
      <c r="H13" s="7" t="inlineStr"/>
    </row>
    <row r="14">
      <c r="A14" s="7" t="inlineStr">
        <is>
          <t>B. Auth &amp; RBAC</t>
        </is>
      </c>
      <c r="B14" s="13" t="inlineStr">
        <is>
          <t>B3</t>
        </is>
      </c>
      <c r="C14" s="7" t="inlineStr">
        <is>
          <t>Demo/password login (pilot, gated cờ)</t>
        </is>
      </c>
      <c r="D14" s="13" t="n">
        <v>1</v>
      </c>
      <c r="E14" s="8">
        <f>D14/SUM($D$2:$D$116)*100</f>
        <v/>
      </c>
      <c r="F14" s="13" t="inlineStr">
        <is>
          <t>Xong</t>
        </is>
      </c>
      <c r="G14" s="8">
        <f>E14*IF(F14="Xong",1,IF(F14="Đang",0.5,0))</f>
        <v/>
      </c>
      <c r="H14" s="7" t="inlineStr"/>
    </row>
    <row r="15">
      <c r="A15" s="7" t="inlineStr">
        <is>
          <t>B. Auth &amp; RBAC</t>
        </is>
      </c>
      <c r="B15" s="13" t="inlineStr">
        <is>
          <t>B4</t>
        </is>
      </c>
      <c r="C15" s="7" t="inlineStr">
        <is>
          <t>Session mgmt (useAuth ready flag, chống blink)</t>
        </is>
      </c>
      <c r="D15" s="13" t="n">
        <v>1</v>
      </c>
      <c r="E15" s="8">
        <f>D15/SUM($D$2:$D$116)*100</f>
        <v/>
      </c>
      <c r="F15" s="13" t="inlineStr">
        <is>
          <t>Xong</t>
        </is>
      </c>
      <c r="G15" s="8">
        <f>E15*IF(F15="Xong",1,IF(F15="Đang",0.5,0))</f>
        <v/>
      </c>
      <c r="H15" s="7" t="inlineStr"/>
    </row>
    <row r="16">
      <c r="A16" s="7" t="inlineStr">
        <is>
          <t>B. Auth &amp; RBAC</t>
        </is>
      </c>
      <c r="B16" s="13" t="inlineStr">
        <is>
          <t>B5</t>
        </is>
      </c>
      <c r="C16" s="7" t="inlineStr">
        <is>
          <t>RLS policies theo vai (student/teacher/parent/admin)</t>
        </is>
      </c>
      <c r="D16" s="13" t="n">
        <v>2</v>
      </c>
      <c r="E16" s="8">
        <f>D16/SUM($D$2:$D$116)*100</f>
        <v/>
      </c>
      <c r="F16" s="13" t="inlineStr">
        <is>
          <t>Xong</t>
        </is>
      </c>
      <c r="G16" s="8">
        <f>E16*IF(F16="Xong",1,IF(F16="Đang",0.5,0))</f>
        <v/>
      </c>
      <c r="H16" s="7" t="inlineStr"/>
    </row>
    <row r="17">
      <c r="A17" s="7" t="inlineStr">
        <is>
          <t>B. Auth &amp; RBAC</t>
        </is>
      </c>
      <c r="B17" s="13" t="inlineStr">
        <is>
          <t>B6</t>
        </is>
      </c>
      <c r="C17" s="7" t="inlineStr">
        <is>
          <t>user_roles allowlist + gating từng trang (allow props, RoleShell)</t>
        </is>
      </c>
      <c r="D17" s="13" t="n">
        <v>2</v>
      </c>
      <c r="E17" s="8">
        <f>D17/SUM($D$2:$D$116)*100</f>
        <v/>
      </c>
      <c r="F17" s="13" t="inlineStr">
        <is>
          <t>Xong</t>
        </is>
      </c>
      <c r="G17" s="8">
        <f>E17*IF(F17="Xong",1,IF(F17="Đang",0.5,0))</f>
        <v/>
      </c>
      <c r="H17" s="7" t="inlineStr"/>
    </row>
    <row r="18">
      <c r="A18" s="7" t="inlineStr">
        <is>
          <t>B. Auth &amp; RBAC</t>
        </is>
      </c>
      <c r="B18" s="13" t="inlineStr">
        <is>
          <t>B7</t>
        </is>
      </c>
      <c r="C18" s="7" t="inlineStr">
        <is>
          <t>Access-denied panels + role hub</t>
        </is>
      </c>
      <c r="D18" s="13" t="n">
        <v>1</v>
      </c>
      <c r="E18" s="8">
        <f>D18/SUM($D$2:$D$116)*100</f>
        <v/>
      </c>
      <c r="F18" s="13" t="inlineStr">
        <is>
          <t>Xong</t>
        </is>
      </c>
      <c r="G18" s="8">
        <f>E18*IF(F18="Xong",1,IF(F18="Đang",0.5,0))</f>
        <v/>
      </c>
      <c r="H18" s="7" t="inlineStr"/>
    </row>
    <row r="19">
      <c r="A19" s="7" t="inlineStr">
        <is>
          <t>C. Engine sư phạm</t>
        </is>
      </c>
      <c r="B19" s="13" t="inlineStr">
        <is>
          <t>C1</t>
        </is>
      </c>
      <c r="C19" s="7" t="inlineStr">
        <is>
          <t>CAS chấm tương đương (tuple/set/numeric/symbolic)</t>
        </is>
      </c>
      <c r="D19" s="13" t="n">
        <v>2</v>
      </c>
      <c r="E19" s="8">
        <f>D19/SUM($D$2:$D$116)*100</f>
        <v/>
      </c>
      <c r="F19" s="13" t="inlineStr">
        <is>
          <t>Xong</t>
        </is>
      </c>
      <c r="G19" s="8">
        <f>E19*IF(F19="Xong",1,IF(F19="Đang",0.5,0))</f>
        <v/>
      </c>
      <c r="H19" s="7" t="inlineStr"/>
    </row>
    <row r="20">
      <c r="A20" s="7" t="inlineStr">
        <is>
          <t>C. Engine sư phạm</t>
        </is>
      </c>
      <c r="B20" s="13" t="inlineStr">
        <is>
          <t>C2</t>
        </is>
      </c>
      <c r="C20" s="7" t="inlineStr">
        <is>
          <t>Fix khớp-chữ MCQ A/B/C/D (đụng đơn vị mathjs)</t>
        </is>
      </c>
      <c r="D20" s="13" t="n">
        <v>1</v>
      </c>
      <c r="E20" s="8">
        <f>D20/SUM($D$2:$D$116)*100</f>
        <v/>
      </c>
      <c r="F20" s="13" t="inlineStr">
        <is>
          <t>Xong</t>
        </is>
      </c>
      <c r="G20" s="8">
        <f>E20*IF(F20="Xong",1,IF(F20="Đang",0.5,0))</f>
        <v/>
      </c>
      <c r="H20" s="7" t="inlineStr"/>
    </row>
    <row r="21">
      <c r="A21" s="7" t="inlineStr">
        <is>
          <t>C. Engine sư phạm</t>
        </is>
      </c>
      <c r="B21" s="13" t="inlineStr">
        <is>
          <t>C3</t>
        </is>
      </c>
      <c r="C21" s="7" t="inlineStr">
        <is>
          <t>Cổng nỗ lực (min attempts cứng + tín hiệu suy nghĩ)</t>
        </is>
      </c>
      <c r="D21" s="13" t="n">
        <v>2</v>
      </c>
      <c r="E21" s="8">
        <f>D21/SUM($D$2:$D$116)*100</f>
        <v/>
      </c>
      <c r="F21" s="13" t="inlineStr">
        <is>
          <t>Xong</t>
        </is>
      </c>
      <c r="G21" s="8">
        <f>E21*IF(F21="Xong",1,IF(F21="Đang",0.5,0))</f>
        <v/>
      </c>
      <c r="H21" s="7" t="inlineStr"/>
    </row>
    <row r="22">
      <c r="A22" s="7" t="inlineStr">
        <is>
          <t>C. Engine sư phạm</t>
        </is>
      </c>
      <c r="B22" s="13" t="inlineStr">
        <is>
          <t>C4</t>
        </is>
      </c>
      <c r="C22" s="7" t="inlineStr">
        <is>
          <t>Thang Socratic runtime (leo bậc → bottom-out)</t>
        </is>
      </c>
      <c r="D22" s="13" t="n">
        <v>2</v>
      </c>
      <c r="E22" s="8">
        <f>D22/SUM($D$2:$D$116)*100</f>
        <v/>
      </c>
      <c r="F22" s="13" t="inlineStr">
        <is>
          <t>Xong</t>
        </is>
      </c>
      <c r="G22" s="8">
        <f>E22*IF(F22="Xong",1,IF(F22="Đang",0.5,0))</f>
        <v/>
      </c>
      <c r="H22" s="7" t="inlineStr"/>
    </row>
    <row r="23">
      <c r="A23" s="7" t="inlineStr">
        <is>
          <t>C. Engine sư phạm</t>
        </is>
      </c>
      <c r="B23" s="13" t="inlineStr">
        <is>
          <t>C5</t>
        </is>
      </c>
      <c r="C23" s="7" t="inlineStr">
        <is>
          <t>Distractor → quan niệm sai → khớp đúng thang</t>
        </is>
      </c>
      <c r="D23" s="13" t="n">
        <v>1</v>
      </c>
      <c r="E23" s="8">
        <f>D23/SUM($D$2:$D$116)*100</f>
        <v/>
      </c>
      <c r="F23" s="13" t="inlineStr">
        <is>
          <t>Xong</t>
        </is>
      </c>
      <c r="G23" s="8">
        <f>E23*IF(F23="Xong",1,IF(F23="Đang",0.5,0))</f>
        <v/>
      </c>
      <c r="H23" s="7" t="inlineStr"/>
    </row>
    <row r="24">
      <c r="A24" s="7" t="inlineStr">
        <is>
          <t>C. Engine sư phạm</t>
        </is>
      </c>
      <c r="B24" s="13" t="inlineStr">
        <is>
          <t>C6</t>
        </is>
      </c>
      <c r="C24" s="7" t="inlineStr">
        <is>
          <t>Truy ngược prerequisite_hard (patch-and-climb)</t>
        </is>
      </c>
      <c r="D24" s="13" t="n">
        <v>2</v>
      </c>
      <c r="E24" s="8">
        <f>D24/SUM($D$2:$D$116)*100</f>
        <v/>
      </c>
      <c r="F24" s="13" t="inlineStr">
        <is>
          <t>Xong</t>
        </is>
      </c>
      <c r="G24" s="8">
        <f>E24*IF(F24="Xong",1,IF(F24="Đang",0.5,0))</f>
        <v/>
      </c>
      <c r="H24" s="7" t="inlineStr"/>
    </row>
    <row r="25">
      <c r="A25" s="7" t="inlineStr">
        <is>
          <t>C. Engine sư phạm</t>
        </is>
      </c>
      <c r="B25" s="13" t="inlineStr">
        <is>
          <t>C7</t>
        </is>
      </c>
      <c r="C25" s="7" t="inlineStr">
        <is>
          <t>Mastery recompute (3/4 window, DOK≥3, cổng tự tin)</t>
        </is>
      </c>
      <c r="D25" s="13" t="n">
        <v>2</v>
      </c>
      <c r="E25" s="8">
        <f>D25/SUM($D$2:$D$116)*100</f>
        <v/>
      </c>
      <c r="F25" s="13" t="inlineStr">
        <is>
          <t>Xong</t>
        </is>
      </c>
      <c r="G25" s="8">
        <f>E25*IF(F25="Xong",1,IF(F25="Đang",0.5,0))</f>
        <v/>
      </c>
      <c r="H25" s="7" t="inlineStr"/>
    </row>
    <row r="26">
      <c r="A26" s="7" t="inlineStr">
        <is>
          <t>C. Engine sư phạm</t>
        </is>
      </c>
      <c r="B26" s="13" t="inlineStr">
        <is>
          <t>C8</t>
        </is>
      </c>
      <c r="C26" s="7" t="inlineStr">
        <is>
          <t>Spaced repetition Leitner (1-3-7-21)</t>
        </is>
      </c>
      <c r="D26" s="13" t="n">
        <v>1</v>
      </c>
      <c r="E26" s="8">
        <f>D26/SUM($D$2:$D$116)*100</f>
        <v/>
      </c>
      <c r="F26" s="13" t="inlineStr">
        <is>
          <t>Xong</t>
        </is>
      </c>
      <c r="G26" s="8">
        <f>E26*IF(F26="Xong",1,IF(F26="Đang",0.5,0))</f>
        <v/>
      </c>
      <c r="H26" s="7" t="inlineStr"/>
    </row>
    <row r="27">
      <c r="A27" s="7" t="inlineStr">
        <is>
          <t>C. Engine sư phạm</t>
        </is>
      </c>
      <c r="B27" s="13" t="inlineStr">
        <is>
          <t>C9</t>
        </is>
      </c>
      <c r="C27" s="7" t="inlineStr">
        <is>
          <t>XP server-authoritative (đúng/kiên trì/mastery, chống farm)</t>
        </is>
      </c>
      <c r="D27" s="13" t="n">
        <v>2</v>
      </c>
      <c r="E27" s="8">
        <f>D27/SUM($D$2:$D$116)*100</f>
        <v/>
      </c>
      <c r="F27" s="13" t="inlineStr">
        <is>
          <t>Xong</t>
        </is>
      </c>
      <c r="G27" s="8">
        <f>E27*IF(F27="Xong",1,IF(F27="Đang",0.5,0))</f>
        <v/>
      </c>
      <c r="H27" s="7" t="inlineStr"/>
    </row>
    <row r="28">
      <c r="A28" s="7" t="inlineStr">
        <is>
          <t>C. Engine sư phạm</t>
        </is>
      </c>
      <c r="B28" s="13" t="inlineStr">
        <is>
          <t>C10</t>
        </is>
      </c>
      <c r="C28" s="7" t="inlineStr">
        <is>
          <t>Token budget guard (trần token/HS/ngày)</t>
        </is>
      </c>
      <c r="D28" s="13" t="n">
        <v>1</v>
      </c>
      <c r="E28" s="8">
        <f>D28/SUM($D$2:$D$116)*100</f>
        <v/>
      </c>
      <c r="F28" s="13" t="inlineStr">
        <is>
          <t>Xong</t>
        </is>
      </c>
      <c r="G28" s="8">
        <f>E28*IF(F28="Xong",1,IF(F28="Đang",0.5,0))</f>
        <v/>
      </c>
      <c r="H28" s="7" t="inlineStr"/>
    </row>
    <row r="29">
      <c r="A29" s="7" t="inlineStr">
        <is>
          <t>C. Engine sư phạm</t>
        </is>
      </c>
      <c r="B29" s="13" t="inlineStr">
        <is>
          <t>C11</t>
        </is>
      </c>
      <c r="C29" s="7" t="inlineStr">
        <is>
          <t>Máy sinh tham số (paramgen tất định theo seed)</t>
        </is>
      </c>
      <c r="D29" s="13" t="n">
        <v>2</v>
      </c>
      <c r="E29" s="8">
        <f>D29/SUM($D$2:$D$116)*100</f>
        <v/>
      </c>
      <c r="F29" s="13" t="inlineStr">
        <is>
          <t>Xong</t>
        </is>
      </c>
      <c r="G29" s="8">
        <f>E29*IF(F29="Xong",1,IF(F29="Đang",0.5,0))</f>
        <v/>
      </c>
      <c r="H29" s="7" t="inlineStr"/>
    </row>
    <row r="30">
      <c r="A30" s="7" t="inlineStr">
        <is>
          <t>C. Engine sư phạm</t>
        </is>
      </c>
      <c r="B30" s="13" t="inlineStr">
        <is>
          <t>C12</t>
        </is>
      </c>
      <c r="C30" s="7" t="inlineStr">
        <is>
          <t>LLM gateway OpenRouter (ẩn danh PDPL, audit, fallback)</t>
        </is>
      </c>
      <c r="D30" s="13" t="n">
        <v>2</v>
      </c>
      <c r="E30" s="8">
        <f>D30/SUM($D$2:$D$116)*100</f>
        <v/>
      </c>
      <c r="F30" s="13" t="inlineStr">
        <is>
          <t>Xong</t>
        </is>
      </c>
      <c r="G30" s="8">
        <f>E30*IF(F30="Xong",1,IF(F30="Đang",0.5,0))</f>
        <v/>
      </c>
      <c r="H30" s="7" t="inlineStr"/>
    </row>
    <row r="31">
      <c r="A31" s="7" t="inlineStr">
        <is>
          <t>C. Engine sư phạm</t>
        </is>
      </c>
      <c r="B31" s="13" t="inlineStr">
        <is>
          <t>C13</t>
        </is>
      </c>
      <c r="C31" s="7" t="inlineStr">
        <is>
          <t>Guide agent (Socratic prompt, không lộ đáp án)</t>
        </is>
      </c>
      <c r="D31" s="13" t="n">
        <v>1</v>
      </c>
      <c r="E31" s="8">
        <f>D31/SUM($D$2:$D$116)*100</f>
        <v/>
      </c>
      <c r="F31" s="13" t="inlineStr">
        <is>
          <t>Xong</t>
        </is>
      </c>
      <c r="G31" s="8">
        <f>E31*IF(F31="Xong",1,IF(F31="Đang",0.5,0))</f>
        <v/>
      </c>
      <c r="H31" s="7" t="inlineStr"/>
    </row>
    <row r="32">
      <c r="A32" s="7" t="inlineStr">
        <is>
          <t>C. Engine sư phạm</t>
        </is>
      </c>
      <c r="B32" s="13" t="inlineStr">
        <is>
          <t>C14</t>
        </is>
      </c>
      <c r="C32" s="7" t="inlineStr">
        <is>
          <t>Đào thải câu kém theo p-value/discrimination</t>
        </is>
      </c>
      <c r="D32" s="13" t="n">
        <v>2</v>
      </c>
      <c r="E32" s="8">
        <f>D32/SUM($D$2:$D$116)*100</f>
        <v/>
      </c>
      <c r="F32" s="13" t="inlineStr">
        <is>
          <t>Đang</t>
        </is>
      </c>
      <c r="G32" s="8">
        <f>E32*IF(F32="Xong",1,IF(F32="Đang",0.5,0))</f>
        <v/>
      </c>
      <c r="H32" s="7" t="inlineStr">
        <is>
          <t>có cột stats, chưa cron retire tự động</t>
        </is>
      </c>
    </row>
    <row r="33">
      <c r="A33" s="7" t="inlineStr">
        <is>
          <t>D. Nội dung Toán 10</t>
        </is>
      </c>
      <c r="B33" s="13" t="inlineStr">
        <is>
          <t>D1</t>
        </is>
      </c>
      <c r="C33" s="7" t="inlineStr">
        <is>
          <t>KG nodes Toán 10 (204 node / 9 chương)</t>
        </is>
      </c>
      <c r="D33" s="13" t="n">
        <v>2</v>
      </c>
      <c r="E33" s="8">
        <f>D33/SUM($D$2:$D$116)*100</f>
        <v/>
      </c>
      <c r="F33" s="13" t="inlineStr">
        <is>
          <t>Xong</t>
        </is>
      </c>
      <c r="G33" s="8">
        <f>E33*IF(F33="Xong",1,IF(F33="Đang",0.5,0))</f>
        <v/>
      </c>
      <c r="H33" s="7" t="inlineStr"/>
    </row>
    <row r="34">
      <c r="A34" s="7" t="inlineStr">
        <is>
          <t>D. Nội dung Toán 10</t>
        </is>
      </c>
      <c r="B34" s="13" t="inlineStr">
        <is>
          <t>D2</t>
        </is>
      </c>
      <c r="C34" s="7" t="inlineStr">
        <is>
          <t>Cạnh prerequisite_hard (259)</t>
        </is>
      </c>
      <c r="D34" s="13" t="n">
        <v>1</v>
      </c>
      <c r="E34" s="8">
        <f>D34/SUM($D$2:$D$116)*100</f>
        <v/>
      </c>
      <c r="F34" s="13" t="inlineStr">
        <is>
          <t>Xong</t>
        </is>
      </c>
      <c r="G34" s="8">
        <f>E34*IF(F34="Xong",1,IF(F34="Đang",0.5,0))</f>
        <v/>
      </c>
      <c r="H34" s="7" t="inlineStr"/>
    </row>
    <row r="35">
      <c r="A35" s="7" t="inlineStr">
        <is>
          <t>D. Nội dung Toán 10</t>
        </is>
      </c>
      <c r="B35" s="13" t="inlineStr">
        <is>
          <t>D3</t>
        </is>
      </c>
      <c r="C35" s="7" t="inlineStr">
        <is>
          <t>Ngân hàng câu Toán 10 (1416 câu active)</t>
        </is>
      </c>
      <c r="D35" s="13" t="n">
        <v>2</v>
      </c>
      <c r="E35" s="8">
        <f>D35/SUM($D$2:$D$116)*100</f>
        <v/>
      </c>
      <c r="F35" s="13" t="inlineStr">
        <is>
          <t>Xong</t>
        </is>
      </c>
      <c r="G35" s="8">
        <f>E35*IF(F35="Xong",1,IF(F35="Đang",0.5,0))</f>
        <v/>
      </c>
      <c r="H35" s="7" t="inlineStr"/>
    </row>
    <row r="36">
      <c r="A36" s="7" t="inlineStr">
        <is>
          <t>D. Nội dung Toán 10</t>
        </is>
      </c>
      <c r="B36" s="13" t="inlineStr">
        <is>
          <t>D4</t>
        </is>
      </c>
      <c r="C36" s="7" t="inlineStr">
        <is>
          <t>Nạp thang Socratic C1–C8 (2607 thang)</t>
        </is>
      </c>
      <c r="D36" s="13" t="n">
        <v>2</v>
      </c>
      <c r="E36" s="8">
        <f>D36/SUM($D$2:$D$116)*100</f>
        <v/>
      </c>
      <c r="F36" s="13" t="inlineStr">
        <is>
          <t>Xong</t>
        </is>
      </c>
      <c r="G36" s="8">
        <f>E36*IF(F36="Xong",1,IF(F36="Đang",0.5,0))</f>
        <v/>
      </c>
      <c r="H36" s="7" t="inlineStr"/>
    </row>
    <row r="37">
      <c r="A37" s="7" t="inlineStr">
        <is>
          <t>D. Nội dung Toán 10</t>
        </is>
      </c>
      <c r="B37" s="13" t="inlineStr">
        <is>
          <t>D5</t>
        </is>
      </c>
      <c r="C37" s="7" t="inlineStr">
        <is>
          <t>Thang Socratic Chương 9 (22 thang/12 node)</t>
        </is>
      </c>
      <c r="D37" s="13" t="n">
        <v>1</v>
      </c>
      <c r="E37" s="8">
        <f>D37/SUM($D$2:$D$116)*100</f>
        <v/>
      </c>
      <c r="F37" s="13" t="inlineStr">
        <is>
          <t>Xong</t>
        </is>
      </c>
      <c r="G37" s="8">
        <f>E37*IF(F37="Xong",1,IF(F37="Đang",0.5,0))</f>
        <v/>
      </c>
      <c r="H37" s="7" t="inlineStr">
        <is>
          <t>Studio đã soạn C09; nạp qua import-ladders-c09.mjs</t>
        </is>
      </c>
    </row>
    <row r="38">
      <c r="A38" s="7" t="inlineStr">
        <is>
          <t>D. Nội dung Toán 10</t>
        </is>
      </c>
      <c r="B38" s="13" t="inlineStr">
        <is>
          <t>D6</t>
        </is>
      </c>
      <c r="C38" s="7" t="inlineStr">
        <is>
          <t>Hiệu chuẩn/nghiệm thu thống kê câu Toán 10</t>
        </is>
      </c>
      <c r="D38" s="13" t="n">
        <v>2</v>
      </c>
      <c r="E38" s="8">
        <f>D38/SUM($D$2:$D$116)*100</f>
        <v/>
      </c>
      <c r="F38" s="13" t="inlineStr">
        <is>
          <t>Đang</t>
        </is>
      </c>
      <c r="G38" s="8">
        <f>E38*IF(F38="Xong",1,IF(F38="Đang",0.5,0))</f>
        <v/>
      </c>
      <c r="H38" s="7" t="inlineStr"/>
    </row>
    <row r="39">
      <c r="A39" s="7" t="inlineStr">
        <is>
          <t>E. Nội dung Tiếng Anh 10</t>
        </is>
      </c>
      <c r="B39" s="13" t="inlineStr">
        <is>
          <t>E1</t>
        </is>
      </c>
      <c r="C39" s="7" t="inlineStr">
        <is>
          <t>KG version Anh 10 (Global Success)</t>
        </is>
      </c>
      <c r="D39" s="13" t="n">
        <v>1</v>
      </c>
      <c r="E39" s="8">
        <f>D39/SUM($D$2:$D$116)*100</f>
        <v/>
      </c>
      <c r="F39" s="13" t="inlineStr">
        <is>
          <t>Xong</t>
        </is>
      </c>
      <c r="G39" s="8">
        <f>E39*IF(F39="Xong",1,IF(F39="Đang",0.5,0))</f>
        <v/>
      </c>
      <c r="H39" s="7" t="inlineStr"/>
    </row>
    <row r="40">
      <c r="A40" s="7" t="inlineStr">
        <is>
          <t>E. Nội dung Tiếng Anh 10</t>
        </is>
      </c>
      <c r="B40" s="13" t="inlineStr">
        <is>
          <t>E2</t>
        </is>
      </c>
      <c r="C40" s="7" t="inlineStr">
        <is>
          <t>Ngân hàng 1551 câu sync từ Studio</t>
        </is>
      </c>
      <c r="D40" s="13" t="n">
        <v>2</v>
      </c>
      <c r="E40" s="8">
        <f>D40/SUM($D$2:$D$116)*100</f>
        <v/>
      </c>
      <c r="F40" s="13" t="inlineStr">
        <is>
          <t>Xong</t>
        </is>
      </c>
      <c r="G40" s="8">
        <f>E40*IF(F40="Xong",1,IF(F40="Đang",0.5,0))</f>
        <v/>
      </c>
      <c r="H40" s="7" t="inlineStr"/>
    </row>
    <row r="41">
      <c r="A41" s="7" t="inlineStr">
        <is>
          <t>E. Nội dung Tiếng Anh 10</t>
        </is>
      </c>
      <c r="B41" s="13" t="inlineStr">
        <is>
          <t>E3</t>
        </is>
      </c>
      <c r="C41" s="7" t="inlineStr">
        <is>
          <t>Phủ 17 dạng câu (mcq/điền/dung_sai/sap_xep/noi_cot/viết/nói…)</t>
        </is>
      </c>
      <c r="D41" s="13" t="n">
        <v>2</v>
      </c>
      <c r="E41" s="8">
        <f>D41/SUM($D$2:$D$116)*100</f>
        <v/>
      </c>
      <c r="F41" s="13" t="inlineStr">
        <is>
          <t>Xong</t>
        </is>
      </c>
      <c r="G41" s="8">
        <f>E41*IF(F41="Xong",1,IF(F41="Đang",0.5,0))</f>
        <v/>
      </c>
      <c r="H41" s="7" t="inlineStr"/>
    </row>
    <row r="42">
      <c r="A42" s="7" t="inlineStr">
        <is>
          <t>E. Nội dung Tiếng Anh 10</t>
        </is>
      </c>
      <c r="B42" s="13" t="inlineStr">
        <is>
          <t>E4</t>
        </is>
      </c>
      <c r="C42" s="7" t="inlineStr">
        <is>
          <t>Rubric riêng từng câu (Studio cấp theo khuôn kỹ năng)</t>
        </is>
      </c>
      <c r="D42" s="13" t="n">
        <v>2</v>
      </c>
      <c r="E42" s="8">
        <f>D42/SUM($D$2:$D$116)*100</f>
        <v/>
      </c>
      <c r="F42" s="13" t="inlineStr">
        <is>
          <t>Chưa</t>
        </is>
      </c>
      <c r="G42" s="8">
        <f>E42*IF(F42="Xong",1,IF(F42="Đang",0.5,0))</f>
        <v/>
      </c>
      <c r="H42" s="7" t="inlineStr">
        <is>
          <t>đã chốt khuôn, chờ Studio</t>
        </is>
      </c>
    </row>
    <row r="43">
      <c r="A43" s="7" t="inlineStr">
        <is>
          <t>E. Nội dung Tiếng Anh 10</t>
        </is>
      </c>
      <c r="B43" s="13" t="inlineStr">
        <is>
          <t>E5</t>
        </is>
      </c>
      <c r="C43" s="7" t="inlineStr">
        <is>
          <t>Nội dung Nghe (nghe) + transcript/audio</t>
        </is>
      </c>
      <c r="D43" s="13" t="n">
        <v>2</v>
      </c>
      <c r="E43" s="8">
        <f>D43/SUM($D$2:$D$116)*100</f>
        <v/>
      </c>
      <c r="F43" s="13" t="inlineStr">
        <is>
          <t>Chưa</t>
        </is>
      </c>
      <c r="G43" s="8">
        <f>E43*IF(F43="Xong",1,IF(F43="Đang",0.5,0))</f>
        <v/>
      </c>
      <c r="H43" s="7" t="inlineStr">
        <is>
          <t>DB đang 0 câu nghe</t>
        </is>
      </c>
    </row>
    <row r="44">
      <c r="A44" s="7" t="inlineStr">
        <is>
          <t>E. Nội dung Tiếng Anh 10</t>
        </is>
      </c>
      <c r="B44" s="13" t="inlineStr">
        <is>
          <t>E6</t>
        </is>
      </c>
      <c r="C44" s="7" t="inlineStr">
        <is>
          <t>Thang Socratic cho Anh 10</t>
        </is>
      </c>
      <c r="D44" s="13" t="n">
        <v>2</v>
      </c>
      <c r="E44" s="8">
        <f>D44/SUM($D$2:$D$116)*100</f>
        <v/>
      </c>
      <c r="F44" s="13" t="inlineStr">
        <is>
          <t>Chưa</t>
        </is>
      </c>
      <c r="G44" s="8">
        <f>E44*IF(F44="Xong",1,IF(F44="Đang",0.5,0))</f>
        <v/>
      </c>
      <c r="H44" s="7" t="inlineStr"/>
    </row>
    <row r="45">
      <c r="A45" s="7" t="inlineStr">
        <is>
          <t>E. Nội dung Tiếng Anh 10</t>
        </is>
      </c>
      <c r="B45" s="13" t="inlineStr">
        <is>
          <t>E7</t>
        </is>
      </c>
      <c r="C45" s="7" t="inlineStr">
        <is>
          <t>Nghiệm thu/thống kê câu Anh 10</t>
        </is>
      </c>
      <c r="D45" s="13" t="n">
        <v>2</v>
      </c>
      <c r="E45" s="8">
        <f>D45/SUM($D$2:$D$116)*100</f>
        <v/>
      </c>
      <c r="F45" s="13" t="inlineStr">
        <is>
          <t>Chưa</t>
        </is>
      </c>
      <c r="G45" s="8">
        <f>E45*IF(F45="Xong",1,IF(F45="Đang",0.5,0))</f>
        <v/>
      </c>
      <c r="H45" s="7" t="inlineStr"/>
    </row>
    <row r="46">
      <c r="A46" s="7" t="inlineStr">
        <is>
          <t>F. Dạng câu &amp; chấm</t>
        </is>
      </c>
      <c r="B46" s="13" t="inlineStr">
        <is>
          <t>F1</t>
        </is>
      </c>
      <c r="C46" s="7" t="inlineStr">
        <is>
          <t>MCQ + điền đáp án (chấm CAS)</t>
        </is>
      </c>
      <c r="D46" s="13" t="n">
        <v>1</v>
      </c>
      <c r="E46" s="8">
        <f>D46/SUM($D$2:$D$116)*100</f>
        <v/>
      </c>
      <c r="F46" s="13" t="inlineStr">
        <is>
          <t>Xong</t>
        </is>
      </c>
      <c r="G46" s="8">
        <f>E46*IF(F46="Xong",1,IF(F46="Đang",0.5,0))</f>
        <v/>
      </c>
      <c r="H46" s="7" t="inlineStr"/>
    </row>
    <row r="47">
      <c r="A47" s="7" t="inlineStr">
        <is>
          <t>F. Dạng câu &amp; chấm</t>
        </is>
      </c>
      <c r="B47" s="13" t="inlineStr">
        <is>
          <t>F2</t>
        </is>
      </c>
      <c r="C47" s="7" t="inlineStr">
        <is>
          <t>dung_sai (nút Đúng/Sai)</t>
        </is>
      </c>
      <c r="D47" s="13" t="n">
        <v>1</v>
      </c>
      <c r="E47" s="8">
        <f>D47/SUM($D$2:$D$116)*100</f>
        <v/>
      </c>
      <c r="F47" s="13" t="inlineStr">
        <is>
          <t>Xong</t>
        </is>
      </c>
      <c r="G47" s="8">
        <f>E47*IF(F47="Xong",1,IF(F47="Đang",0.5,0))</f>
        <v/>
      </c>
      <c r="H47" s="7" t="inlineStr">
        <is>
          <t>Đợt A</t>
        </is>
      </c>
    </row>
    <row r="48">
      <c r="A48" s="7" t="inlineStr">
        <is>
          <t>F. Dạng câu &amp; chấm</t>
        </is>
      </c>
      <c r="B48" s="13" t="inlineStr">
        <is>
          <t>F3</t>
        </is>
      </c>
      <c r="C48" s="7" t="inlineStr">
        <is>
          <t>sap_xep (kéo-thả xếp thứ tự)</t>
        </is>
      </c>
      <c r="D48" s="13" t="n">
        <v>2</v>
      </c>
      <c r="E48" s="8">
        <f>D48/SUM($D$2:$D$116)*100</f>
        <v/>
      </c>
      <c r="F48" s="13" t="inlineStr">
        <is>
          <t>Xong</t>
        </is>
      </c>
      <c r="G48" s="8">
        <f>E48*IF(F48="Xong",1,IF(F48="Đang",0.5,0))</f>
        <v/>
      </c>
      <c r="H48" s="7" t="inlineStr">
        <is>
          <t>Đợt A</t>
        </is>
      </c>
    </row>
    <row r="49">
      <c r="A49" s="7" t="inlineStr">
        <is>
          <t>F. Dạng câu &amp; chấm</t>
        </is>
      </c>
      <c r="B49" s="13" t="inlineStr">
        <is>
          <t>F4</t>
        </is>
      </c>
      <c r="C49" s="7" t="inlineStr">
        <is>
          <t>noi_cot (kéo-thả nối cột)</t>
        </is>
      </c>
      <c r="D49" s="13" t="n">
        <v>2</v>
      </c>
      <c r="E49" s="8">
        <f>D49/SUM($D$2:$D$116)*100</f>
        <v/>
      </c>
      <c r="F49" s="13" t="inlineStr">
        <is>
          <t>Xong</t>
        </is>
      </c>
      <c r="G49" s="8">
        <f>E49*IF(F49="Xong",1,IF(F49="Đang",0.5,0))</f>
        <v/>
      </c>
      <c r="H49" s="7" t="inlineStr">
        <is>
          <t>Đợt A</t>
        </is>
      </c>
    </row>
    <row r="50">
      <c r="A50" s="7" t="inlineStr">
        <is>
          <t>F. Dạng câu &amp; chấm</t>
        </is>
      </c>
      <c r="B50" s="13" t="inlineStr">
        <is>
          <t>F5</t>
        </is>
      </c>
      <c r="C50" s="7" t="inlineStr">
        <is>
          <t>Bộ chấm cấu trúc tất định (dãy/tập cặp/true-false)</t>
        </is>
      </c>
      <c r="D50" s="13" t="n">
        <v>2</v>
      </c>
      <c r="E50" s="8">
        <f>D50/SUM($D$2:$D$116)*100</f>
        <v/>
      </c>
      <c r="F50" s="13" t="inlineStr">
        <is>
          <t>Xong</t>
        </is>
      </c>
      <c r="G50" s="8">
        <f>E50*IF(F50="Xong",1,IF(F50="Đang",0.5,0))</f>
        <v/>
      </c>
      <c r="H50" s="7" t="inlineStr"/>
    </row>
    <row r="51">
      <c r="A51" s="7" t="inlineStr">
        <is>
          <t>F. Dạng câu &amp; chấm</t>
        </is>
      </c>
      <c r="B51" s="13" t="inlineStr">
        <is>
          <t>F6</t>
        </is>
      </c>
      <c r="C51" s="7" t="inlineStr">
        <is>
          <t>Parse đề dẫn đường bằng dap_an (server, 100%/91%)</t>
        </is>
      </c>
      <c r="D51" s="13" t="n">
        <v>2</v>
      </c>
      <c r="E51" s="8">
        <f>D51/SUM($D$2:$D$116)*100</f>
        <v/>
      </c>
      <c r="F51" s="13" t="inlineStr">
        <is>
          <t>Xong</t>
        </is>
      </c>
      <c r="G51" s="8">
        <f>E51*IF(F51="Xong",1,IF(F51="Đang",0.5,0))</f>
        <v/>
      </c>
      <c r="H51" s="7" t="inlineStr"/>
    </row>
    <row r="52">
      <c r="A52" s="7" t="inlineStr">
        <is>
          <t>F. Dạng câu &amp; chấm</t>
        </is>
      </c>
      <c r="B52" s="13" t="inlineStr">
        <is>
          <t>F7</t>
        </is>
      </c>
      <c r="C52" s="7" t="inlineStr">
        <is>
          <t>Viết (textarea) + chấm rubric</t>
        </is>
      </c>
      <c r="D52" s="13" t="n">
        <v>1</v>
      </c>
      <c r="E52" s="8">
        <f>D52/SUM($D$2:$D$116)*100</f>
        <v/>
      </c>
      <c r="F52" s="13" t="inlineStr">
        <is>
          <t>Xong</t>
        </is>
      </c>
      <c r="G52" s="8">
        <f>E52*IF(F52="Xong",1,IF(F52="Đang",0.5,0))</f>
        <v/>
      </c>
      <c r="H52" s="7" t="inlineStr"/>
    </row>
    <row r="53">
      <c r="A53" s="7" t="inlineStr">
        <is>
          <t>F. Dạng câu &amp; chấm</t>
        </is>
      </c>
      <c r="B53" s="13" t="inlineStr">
        <is>
          <t>F8</t>
        </is>
      </c>
      <c r="C53" s="7" t="inlineStr">
        <is>
          <t>Nói (SpeakBox STT) + chấm rubric</t>
        </is>
      </c>
      <c r="D53" s="13" t="n">
        <v>1</v>
      </c>
      <c r="E53" s="8">
        <f>D53/SUM($D$2:$D$116)*100</f>
        <v/>
      </c>
      <c r="F53" s="13" t="inlineStr">
        <is>
          <t>Xong</t>
        </is>
      </c>
      <c r="G53" s="8">
        <f>E53*IF(F53="Xong",1,IF(F53="Đang",0.5,0))</f>
        <v/>
      </c>
      <c r="H53" s="7" t="inlineStr"/>
    </row>
    <row r="54">
      <c r="A54" s="7" t="inlineStr">
        <is>
          <t>F. Dạng câu &amp; chấm</t>
        </is>
      </c>
      <c r="B54" s="13" t="inlineStr">
        <is>
          <t>F9</t>
        </is>
      </c>
      <c r="C54" s="7" t="inlineStr">
        <is>
          <t>Rubric theo kỹ năng (Viết/Nói/Lập luận) có điểm</t>
        </is>
      </c>
      <c r="D54" s="13" t="n">
        <v>2</v>
      </c>
      <c r="E54" s="8">
        <f>D54/SUM($D$2:$D$116)*100</f>
        <v/>
      </c>
      <c r="F54" s="13" t="inlineStr">
        <is>
          <t>Xong</t>
        </is>
      </c>
      <c r="G54" s="8">
        <f>E54*IF(F54="Xong",1,IF(F54="Đang",0.5,0))</f>
        <v/>
      </c>
      <c r="H54" s="7" t="inlineStr">
        <is>
          <t>Đợt B</t>
        </is>
      </c>
    </row>
    <row r="55">
      <c r="A55" s="7" t="inlineStr">
        <is>
          <t>F. Dạng câu &amp; chấm</t>
        </is>
      </c>
      <c r="B55" s="13" t="inlineStr">
        <is>
          <t>F10</t>
        </is>
      </c>
      <c r="C55" s="7" t="inlineStr">
        <is>
          <t>Scorecard UI (điểm từng tiêu chí)</t>
        </is>
      </c>
      <c r="D55" s="13" t="n">
        <v>1</v>
      </c>
      <c r="E55" s="8">
        <f>D55/SUM($D$2:$D$116)*100</f>
        <v/>
      </c>
      <c r="F55" s="13" t="inlineStr">
        <is>
          <t>Xong</t>
        </is>
      </c>
      <c r="G55" s="8">
        <f>E55*IF(F55="Xong",1,IF(F55="Đang",0.5,0))</f>
        <v/>
      </c>
      <c r="H55" s="7" t="inlineStr">
        <is>
          <t>Đợt B</t>
        </is>
      </c>
    </row>
    <row r="56">
      <c r="A56" s="7" t="inlineStr">
        <is>
          <t>F. Dạng câu &amp; chấm</t>
        </is>
      </c>
      <c r="B56" s="13" t="inlineStr">
        <is>
          <t>F11</t>
        </is>
      </c>
      <c r="C56" s="7" t="inlineStr">
        <is>
          <t>Nút Nghe (Web Speech TTS)</t>
        </is>
      </c>
      <c r="D56" s="13" t="n">
        <v>1</v>
      </c>
      <c r="E56" s="8">
        <f>D56/SUM($D$2:$D$116)*100</f>
        <v/>
      </c>
      <c r="F56" s="13" t="inlineStr">
        <is>
          <t>Xong</t>
        </is>
      </c>
      <c r="G56" s="8">
        <f>E56*IF(F56="Xong",1,IF(F56="Đang",0.5,0))</f>
        <v/>
      </c>
      <c r="H56" s="7" t="inlineStr">
        <is>
          <t>Đợt C</t>
        </is>
      </c>
    </row>
    <row r="57">
      <c r="A57" s="7" t="inlineStr">
        <is>
          <t>F. Dạng câu &amp; chấm</t>
        </is>
      </c>
      <c r="B57" s="13" t="inlineStr">
        <is>
          <t>F12</t>
        </is>
      </c>
      <c r="C57" s="7" t="inlineStr">
        <is>
          <t>KaTeX render công thức</t>
        </is>
      </c>
      <c r="D57" s="13" t="n">
        <v>1</v>
      </c>
      <c r="E57" s="8">
        <f>D57/SUM($D$2:$D$116)*100</f>
        <v/>
      </c>
      <c r="F57" s="13" t="inlineStr">
        <is>
          <t>Xong</t>
        </is>
      </c>
      <c r="G57" s="8">
        <f>E57*IF(F57="Xong",1,IF(F57="Đang",0.5,0))</f>
        <v/>
      </c>
      <c r="H57" s="7" t="inlineStr"/>
    </row>
    <row r="58">
      <c r="A58" s="7" t="inlineStr">
        <is>
          <t>F. Dạng câu &amp; chấm</t>
        </is>
      </c>
      <c r="B58" s="13" t="inlineStr">
        <is>
          <t>F13</t>
        </is>
      </c>
      <c r="C58" s="7" t="inlineStr">
        <is>
          <t>Dạng còn lại (tim_loi/nhieu_buoc/phan_tu) — UI riêng</t>
        </is>
      </c>
      <c r="D58" s="13" t="n">
        <v>2</v>
      </c>
      <c r="E58" s="8">
        <f>D58/SUM($D$2:$D$116)*100</f>
        <v/>
      </c>
      <c r="F58" s="13" t="inlineStr">
        <is>
          <t>Chưa</t>
        </is>
      </c>
      <c r="G58" s="8">
        <f>E58*IF(F58="Xong",1,IF(F58="Đang",0.5,0))</f>
        <v/>
      </c>
      <c r="H58" s="7" t="inlineStr">
        <is>
          <t>hiện hạ về dạng gần nhất</t>
        </is>
      </c>
    </row>
    <row r="59">
      <c r="A59" s="7" t="inlineStr">
        <is>
          <t>G. UX học sinh</t>
        </is>
      </c>
      <c r="B59" s="13" t="inlineStr">
        <is>
          <t>G1</t>
        </is>
      </c>
      <c r="C59" s="7" t="inlineStr">
        <is>
          <t>Luồng bài học chat (TutorApp)</t>
        </is>
      </c>
      <c r="D59" s="13" t="n">
        <v>2</v>
      </c>
      <c r="E59" s="8">
        <f>D59/SUM($D$2:$D$116)*100</f>
        <v/>
      </c>
      <c r="F59" s="13" t="inlineStr">
        <is>
          <t>Xong</t>
        </is>
      </c>
      <c r="G59" s="8">
        <f>E59*IF(F59="Xong",1,IF(F59="Đang",0.5,0))</f>
        <v/>
      </c>
      <c r="H59" s="7" t="inlineStr"/>
    </row>
    <row r="60">
      <c r="A60" s="7" t="inlineStr">
        <is>
          <t>G. UX học sinh</t>
        </is>
      </c>
      <c r="B60" s="13" t="inlineStr">
        <is>
          <t>G2</t>
        </is>
      </c>
      <c r="C60" s="7" t="inlineStr">
        <is>
          <t>Lộ trình học (world, dấu chân)</t>
        </is>
      </c>
      <c r="D60" s="13" t="n">
        <v>2</v>
      </c>
      <c r="E60" s="8">
        <f>D60/SUM($D$2:$D$116)*100</f>
        <v/>
      </c>
      <c r="F60" s="13" t="inlineStr">
        <is>
          <t>Xong</t>
        </is>
      </c>
      <c r="G60" s="8">
        <f>E60*IF(F60="Xong",1,IF(F60="Đang",0.5,0))</f>
        <v/>
      </c>
      <c r="H60" s="7" t="inlineStr"/>
    </row>
    <row r="61">
      <c r="A61" s="7" t="inlineStr">
        <is>
          <t>G. UX học sinh</t>
        </is>
      </c>
      <c r="B61" s="13" t="inlineStr">
        <is>
          <t>G3</t>
        </is>
      </c>
      <c r="C61" s="7" t="inlineStr">
        <is>
          <t>9 hình nền cảnh theo chương (WebP)</t>
        </is>
      </c>
      <c r="D61" s="13" t="n">
        <v>1</v>
      </c>
      <c r="E61" s="8">
        <f>D61/SUM($D$2:$D$116)*100</f>
        <v/>
      </c>
      <c r="F61" s="13" t="inlineStr">
        <is>
          <t>Xong</t>
        </is>
      </c>
      <c r="G61" s="8">
        <f>E61*IF(F61="Xong",1,IF(F61="Đang",0.5,0))</f>
        <v/>
      </c>
      <c r="H61" s="7" t="inlineStr"/>
    </row>
    <row r="62">
      <c r="A62" s="7" t="inlineStr">
        <is>
          <t>G. UX học sinh</t>
        </is>
      </c>
      <c r="B62" s="13" t="inlineStr">
        <is>
          <t>G4</t>
        </is>
      </c>
      <c r="C62" s="7" t="inlineStr">
        <is>
          <t>Sư tử mascot (nhiều mood)</t>
        </is>
      </c>
      <c r="D62" s="13" t="n">
        <v>1</v>
      </c>
      <c r="E62" s="8">
        <f>D62/SUM($D$2:$D$116)*100</f>
        <v/>
      </c>
      <c r="F62" s="13" t="inlineStr">
        <is>
          <t>Xong</t>
        </is>
      </c>
      <c r="G62" s="8">
        <f>E62*IF(F62="Xong",1,IF(F62="Đang",0.5,0))</f>
        <v/>
      </c>
      <c r="H62" s="7" t="inlineStr"/>
    </row>
    <row r="63">
      <c r="A63" s="7" t="inlineStr">
        <is>
          <t>G. UX học sinh</t>
        </is>
      </c>
      <c r="B63" s="13" t="inlineStr">
        <is>
          <t>G5</t>
        </is>
      </c>
      <c r="C63" s="7" t="inlineStr">
        <is>
          <t>Diagnose / tạo phiên học</t>
        </is>
      </c>
      <c r="D63" s="13" t="n">
        <v>1</v>
      </c>
      <c r="E63" s="8">
        <f>D63/SUM($D$2:$D$116)*100</f>
        <v/>
      </c>
      <c r="F63" s="13" t="inlineStr">
        <is>
          <t>Xong</t>
        </is>
      </c>
      <c r="G63" s="8">
        <f>E63*IF(F63="Xong",1,IF(F63="Đang",0.5,0))</f>
        <v/>
      </c>
      <c r="H63" s="7" t="inlineStr"/>
    </row>
    <row r="64">
      <c r="A64" s="7" t="inlineStr">
        <is>
          <t>G. UX học sinh</t>
        </is>
      </c>
      <c r="B64" s="13" t="inlineStr">
        <is>
          <t>G6</t>
        </is>
      </c>
      <c r="C64" s="7" t="inlineStr">
        <is>
          <t>UI vá nền (patch-and-climb) + băng-rôn</t>
        </is>
      </c>
      <c r="D64" s="13" t="n">
        <v>2</v>
      </c>
      <c r="E64" s="8">
        <f>D64/SUM($D$2:$D$116)*100</f>
        <v/>
      </c>
      <c r="F64" s="13" t="inlineStr">
        <is>
          <t>Xong</t>
        </is>
      </c>
      <c r="G64" s="8">
        <f>E64*IF(F64="Xong",1,IF(F64="Đang",0.5,0))</f>
        <v/>
      </c>
      <c r="H64" s="7" t="inlineStr"/>
    </row>
    <row r="65">
      <c r="A65" s="7" t="inlineStr">
        <is>
          <t>G. UX học sinh</t>
        </is>
      </c>
      <c r="B65" s="13" t="inlineStr">
        <is>
          <t>G7</t>
        </is>
      </c>
      <c r="C65" s="7" t="inlineStr">
        <is>
          <t>Tự đánh giá độ tự tin (confidence)</t>
        </is>
      </c>
      <c r="D65" s="13" t="n">
        <v>1</v>
      </c>
      <c r="E65" s="8">
        <f>D65/SUM($D$2:$D$116)*100</f>
        <v/>
      </c>
      <c r="F65" s="13" t="inlineStr">
        <is>
          <t>Xong</t>
        </is>
      </c>
      <c r="G65" s="8">
        <f>E65*IF(F65="Xong",1,IF(F65="Đang",0.5,0))</f>
        <v/>
      </c>
      <c r="H65" s="7" t="inlineStr"/>
    </row>
    <row r="66">
      <c r="A66" s="7" t="inlineStr">
        <is>
          <t>G. UX học sinh</t>
        </is>
      </c>
      <c r="B66" s="13" t="inlineStr">
        <is>
          <t>G8</t>
        </is>
      </c>
      <c r="C66" s="7" t="inlineStr">
        <is>
          <t>Review — xem lại câu sai</t>
        </is>
      </c>
      <c r="D66" s="13" t="n">
        <v>1</v>
      </c>
      <c r="E66" s="8">
        <f>D66/SUM($D$2:$D$116)*100</f>
        <v/>
      </c>
      <c r="F66" s="13" t="inlineStr">
        <is>
          <t>Xong</t>
        </is>
      </c>
      <c r="G66" s="8">
        <f>E66*IF(F66="Xong",1,IF(F66="Đang",0.5,0))</f>
        <v/>
      </c>
      <c r="H66" s="7" t="inlineStr"/>
    </row>
    <row r="67">
      <c r="A67" s="7" t="inlineStr">
        <is>
          <t>G. UX học sinh</t>
        </is>
      </c>
      <c r="B67" s="13" t="inlineStr">
        <is>
          <t>G9</t>
        </is>
      </c>
      <c r="C67" s="7" t="inlineStr">
        <is>
          <t>Profile (XP, mastery)</t>
        </is>
      </c>
      <c r="D67" s="13" t="n">
        <v>1</v>
      </c>
      <c r="E67" s="8">
        <f>D67/SUM($D$2:$D$116)*100</f>
        <v/>
      </c>
      <c r="F67" s="13" t="inlineStr">
        <is>
          <t>Xong</t>
        </is>
      </c>
      <c r="G67" s="8">
        <f>E67*IF(F67="Xong",1,IF(F67="Đang",0.5,0))</f>
        <v/>
      </c>
      <c r="H67" s="7" t="inlineStr"/>
    </row>
    <row r="68">
      <c r="A68" s="7" t="inlineStr">
        <is>
          <t>G. UX học sinh</t>
        </is>
      </c>
      <c r="B68" s="13" t="inlineStr">
        <is>
          <t>G10</t>
        </is>
      </c>
      <c r="C68" s="7" t="inlineStr">
        <is>
          <t>Scoreboard (lớp/khối)</t>
        </is>
      </c>
      <c r="D68" s="13" t="n">
        <v>1</v>
      </c>
      <c r="E68" s="8">
        <f>D68/SUM($D$2:$D$116)*100</f>
        <v/>
      </c>
      <c r="F68" s="13" t="inlineStr">
        <is>
          <t>Xong</t>
        </is>
      </c>
      <c r="G68" s="8">
        <f>E68*IF(F68="Xong",1,IF(F68="Đang",0.5,0))</f>
        <v/>
      </c>
      <c r="H68" s="7" t="inlineStr"/>
    </row>
    <row r="69">
      <c r="A69" s="7" t="inlineStr">
        <is>
          <t>G. UX học sinh</t>
        </is>
      </c>
      <c r="B69" s="13" t="inlineStr">
        <is>
          <t>G11</t>
        </is>
      </c>
      <c r="C69" s="7" t="inlineStr">
        <is>
          <t>Quests view</t>
        </is>
      </c>
      <c r="D69" s="13" t="n">
        <v>1</v>
      </c>
      <c r="E69" s="8">
        <f>D69/SUM($D$2:$D$116)*100</f>
        <v/>
      </c>
      <c r="F69" s="13" t="inlineStr">
        <is>
          <t>Xong</t>
        </is>
      </c>
      <c r="G69" s="8">
        <f>E69*IF(F69="Xong",1,IF(F69="Đang",0.5,0))</f>
        <v/>
      </c>
      <c r="H69" s="7" t="inlineStr"/>
    </row>
    <row r="70">
      <c r="A70" s="7" t="inlineStr">
        <is>
          <t>G. UX học sinh</t>
        </is>
      </c>
      <c r="B70" s="13" t="inlineStr">
        <is>
          <t>G12</t>
        </is>
      </c>
      <c r="C70" s="7" t="inlineStr">
        <is>
          <t>Settings view</t>
        </is>
      </c>
      <c r="D70" s="13" t="n">
        <v>1</v>
      </c>
      <c r="E70" s="8">
        <f>D70/SUM($D$2:$D$116)*100</f>
        <v/>
      </c>
      <c r="F70" s="13" t="inlineStr">
        <is>
          <t>Xong</t>
        </is>
      </c>
      <c r="G70" s="8">
        <f>E70*IF(F70="Xong",1,IF(F70="Đang",0.5,0))</f>
        <v/>
      </c>
      <c r="H70" s="7" t="inlineStr"/>
    </row>
    <row r="71">
      <c r="A71" s="7" t="inlineStr">
        <is>
          <t>G. UX học sinh</t>
        </is>
      </c>
      <c r="B71" s="13" t="inlineStr">
        <is>
          <t>G13</t>
        </is>
      </c>
      <c r="C71" s="7" t="inlineStr">
        <is>
          <t>Bài đặc biệt (LessonView học liệu)</t>
        </is>
      </c>
      <c r="D71" s="13" t="n">
        <v>1</v>
      </c>
      <c r="E71" s="8">
        <f>D71/SUM($D$2:$D$116)*100</f>
        <v/>
      </c>
      <c r="F71" s="13" t="inlineStr">
        <is>
          <t>Xong</t>
        </is>
      </c>
      <c r="G71" s="8">
        <f>E71*IF(F71="Xong",1,IF(F71="Đang",0.5,0))</f>
        <v/>
      </c>
      <c r="H71" s="7" t="inlineStr"/>
    </row>
    <row r="72">
      <c r="A72" s="7" t="inlineStr">
        <is>
          <t>G. UX học sinh</t>
        </is>
      </c>
      <c r="B72" s="13" t="inlineStr">
        <is>
          <t>G14</t>
        </is>
      </c>
      <c r="C72" s="7" t="inlineStr">
        <is>
          <t>Vòng đời buổi học đủ (mục tiêu + chiêm nghiệm + nhắc nghỉ)</t>
        </is>
      </c>
      <c r="D72" s="13" t="n">
        <v>2</v>
      </c>
      <c r="E72" s="8">
        <f>D72/SUM($D$2:$D$116)*100</f>
        <v/>
      </c>
      <c r="F72" s="13" t="inlineStr">
        <is>
          <t>Đang</t>
        </is>
      </c>
      <c r="G72" s="8">
        <f>E72*IF(F72="Xong",1,IF(F72="Đang",0.5,0))</f>
        <v/>
      </c>
      <c r="H72" s="7" t="inlineStr">
        <is>
          <t>có mảnh rời, chưa trọn 40'</t>
        </is>
      </c>
    </row>
    <row r="73">
      <c r="A73" s="7" t="inlineStr">
        <is>
          <t>G. UX học sinh</t>
        </is>
      </c>
      <c r="B73" s="13" t="inlineStr">
        <is>
          <t>G15</t>
        </is>
      </c>
      <c r="C73" s="7" t="inlineStr">
        <is>
          <t>Presence 'học cùng nhau' (đang tắt cờ)</t>
        </is>
      </c>
      <c r="D73" s="13" t="n">
        <v>1</v>
      </c>
      <c r="E73" s="8">
        <f>D73/SUM($D$2:$D$116)*100</f>
        <v/>
      </c>
      <c r="F73" s="13" t="inlineStr">
        <is>
          <t>Đang</t>
        </is>
      </c>
      <c r="G73" s="8">
        <f>E73*IF(F73="Xong",1,IF(F73="Đang",0.5,0))</f>
        <v/>
      </c>
      <c r="H73" s="7" t="inlineStr"/>
    </row>
    <row r="74">
      <c r="A74" s="7" t="inlineStr">
        <is>
          <t>G. UX học sinh</t>
        </is>
      </c>
      <c r="B74" s="13" t="inlineStr">
        <is>
          <t>G16</t>
        </is>
      </c>
      <c r="C74" s="7" t="inlineStr">
        <is>
          <t>Landing page công khai</t>
        </is>
      </c>
      <c r="D74" s="13" t="n">
        <v>1</v>
      </c>
      <c r="E74" s="8">
        <f>D74/SUM($D$2:$D$116)*100</f>
        <v/>
      </c>
      <c r="F74" s="13" t="inlineStr">
        <is>
          <t>Xong</t>
        </is>
      </c>
      <c r="G74" s="8">
        <f>E74*IF(F74="Xong",1,IF(F74="Đang",0.5,0))</f>
        <v/>
      </c>
      <c r="H74" s="7" t="inlineStr"/>
    </row>
    <row r="75">
      <c r="A75" s="7" t="inlineStr">
        <is>
          <t>H. Công cụ Giáo viên</t>
        </is>
      </c>
      <c r="B75" s="13" t="inlineStr">
        <is>
          <t>H1</t>
        </is>
      </c>
      <c r="C75" s="7" t="inlineStr">
        <is>
          <t>Teacher dashboard có tab (roster/chủ đề/hoạt động/duyệt)</t>
        </is>
      </c>
      <c r="D75" s="13" t="n">
        <v>2</v>
      </c>
      <c r="E75" s="8">
        <f>D75/SUM($D$2:$D$116)*100</f>
        <v/>
      </c>
      <c r="F75" s="13" t="inlineStr">
        <is>
          <t>Xong</t>
        </is>
      </c>
      <c r="G75" s="8">
        <f>E75*IF(F75="Xong",1,IF(F75="Đang",0.5,0))</f>
        <v/>
      </c>
      <c r="H75" s="7" t="inlineStr"/>
    </row>
    <row r="76">
      <c r="A76" s="7" t="inlineStr">
        <is>
          <t>H. Công cụ Giáo viên</t>
        </is>
      </c>
      <c r="B76" s="13" t="inlineStr">
        <is>
          <t>H2</t>
        </is>
      </c>
      <c r="C76" s="7" t="inlineStr">
        <is>
          <t>teacher-stats function (roster/topics/activity)</t>
        </is>
      </c>
      <c r="D76" s="13" t="n">
        <v>1</v>
      </c>
      <c r="E76" s="8">
        <f>D76/SUM($D$2:$D$116)*100</f>
        <v/>
      </c>
      <c r="F76" s="13" t="inlineStr">
        <is>
          <t>Xong</t>
        </is>
      </c>
      <c r="G76" s="8">
        <f>E76*IF(F76="Xong",1,IF(F76="Đang",0.5,0))</f>
        <v/>
      </c>
      <c r="H76" s="7" t="inlineStr"/>
    </row>
    <row r="77">
      <c r="A77" s="7" t="inlineStr">
        <is>
          <t>H. Công cụ Giáo viên</t>
        </is>
      </c>
      <c r="B77" s="13" t="inlineStr">
        <is>
          <t>H3</t>
        </is>
      </c>
      <c r="C77" s="7" t="inlineStr">
        <is>
          <t>Roster management UI + admin-roster function</t>
        </is>
      </c>
      <c r="D77" s="13" t="n">
        <v>2</v>
      </c>
      <c r="E77" s="8">
        <f>D77/SUM($D$2:$D$116)*100</f>
        <v/>
      </c>
      <c r="F77" s="13" t="inlineStr">
        <is>
          <t>Xong</t>
        </is>
      </c>
      <c r="G77" s="8">
        <f>E77*IF(F77="Xong",1,IF(F77="Đang",0.5,0))</f>
        <v/>
      </c>
      <c r="H77" s="7" t="inlineStr"/>
    </row>
    <row r="78">
      <c r="A78" s="7" t="inlineStr">
        <is>
          <t>H. Công cụ Giáo viên</t>
        </is>
      </c>
      <c r="B78" s="13" t="inlineStr">
        <is>
          <t>H4</t>
        </is>
      </c>
      <c r="C78" s="7" t="inlineStr">
        <is>
          <t>Duyệt nội dung AI sinh (review_queue) đầy đủ</t>
        </is>
      </c>
      <c r="D78" s="13" t="n">
        <v>2</v>
      </c>
      <c r="E78" s="8">
        <f>D78/SUM($D$2:$D$116)*100</f>
        <v/>
      </c>
      <c r="F78" s="13" t="inlineStr">
        <is>
          <t>Đang</t>
        </is>
      </c>
      <c r="G78" s="8">
        <f>E78*IF(F78="Xong",1,IF(F78="Đang",0.5,0))</f>
        <v/>
      </c>
      <c r="H78" s="7" t="inlineStr"/>
    </row>
    <row r="79">
      <c r="A79" s="7" t="inlineStr">
        <is>
          <t>H. Công cụ Giáo viên</t>
        </is>
      </c>
      <c r="B79" s="13" t="inlineStr">
        <is>
          <t>H5</t>
        </is>
      </c>
      <c r="C79" s="7" t="inlineStr">
        <is>
          <t>GV điều chỉnh nội dung Tutor + lý do (teacher_overrides)</t>
        </is>
      </c>
      <c r="D79" s="13" t="n">
        <v>2</v>
      </c>
      <c r="E79" s="8">
        <f>D79/SUM($D$2:$D$116)*100</f>
        <v/>
      </c>
      <c r="F79" s="13" t="inlineStr">
        <is>
          <t>Chưa</t>
        </is>
      </c>
      <c r="G79" s="8">
        <f>E79*IF(F79="Xong",1,IF(F79="Đang",0.5,0))</f>
        <v/>
      </c>
      <c r="H79" s="7" t="inlineStr"/>
    </row>
    <row r="80">
      <c r="A80" s="7" t="inlineStr">
        <is>
          <t>H. Công cụ Giáo viên</t>
        </is>
      </c>
      <c r="B80" s="13" t="inlineStr">
        <is>
          <t>H6</t>
        </is>
      </c>
      <c r="C80" s="7" t="inlineStr">
        <is>
          <t>Heatmap theo node/tier + tra sâu từng HS</t>
        </is>
      </c>
      <c r="D80" s="13" t="n">
        <v>2</v>
      </c>
      <c r="E80" s="8">
        <f>D80/SUM($D$2:$D$116)*100</f>
        <v/>
      </c>
      <c r="F80" s="13" t="inlineStr">
        <is>
          <t>Đang</t>
        </is>
      </c>
      <c r="G80" s="8">
        <f>E80*IF(F80="Xong",1,IF(F80="Đang",0.5,0))</f>
        <v/>
      </c>
      <c r="H80" s="7" t="inlineStr"/>
    </row>
    <row r="81">
      <c r="A81" s="7" t="inlineStr">
        <is>
          <t>H. Công cụ Giáo viên</t>
        </is>
      </c>
      <c r="B81" s="13" t="inlineStr">
        <is>
          <t>H7</t>
        </is>
      </c>
      <c r="C81" s="7" t="inlineStr">
        <is>
          <t>Cửa cắm câu hỏi / soạn đề</t>
        </is>
      </c>
      <c r="D81" s="13" t="n">
        <v>1</v>
      </c>
      <c r="E81" s="8">
        <f>D81/SUM($D$2:$D$116)*100</f>
        <v/>
      </c>
      <c r="F81" s="13" t="inlineStr">
        <is>
          <t>Xong</t>
        </is>
      </c>
      <c r="G81" s="8">
        <f>E81*IF(F81="Xong",1,IF(F81="Đang",0.5,0))</f>
        <v/>
      </c>
      <c r="H81" s="7" t="inlineStr"/>
    </row>
    <row r="82">
      <c r="A82" s="7" t="inlineStr">
        <is>
          <t>I. Phụ huynh</t>
        </is>
      </c>
      <c r="B82" s="13" t="inlineStr">
        <is>
          <t>I1</t>
        </is>
      </c>
      <c r="C82" s="7" t="inlineStr">
        <is>
          <t>Magic-link truy cập phụ huynh</t>
        </is>
      </c>
      <c r="D82" s="13" t="n">
        <v>1</v>
      </c>
      <c r="E82" s="8">
        <f>D82/SUM($D$2:$D$116)*100</f>
        <v/>
      </c>
      <c r="F82" s="13" t="inlineStr">
        <is>
          <t>Xong</t>
        </is>
      </c>
      <c r="G82" s="8">
        <f>E82*IF(F82="Xong",1,IF(F82="Đang",0.5,0))</f>
        <v/>
      </c>
      <c r="H82" s="7" t="inlineStr"/>
    </row>
    <row r="83">
      <c r="A83" s="7" t="inlineStr">
        <is>
          <t>I. Phụ huynh</t>
        </is>
      </c>
      <c r="B83" s="13" t="inlineStr">
        <is>
          <t>I2</t>
        </is>
      </c>
      <c r="C83" s="7" t="inlineStr">
        <is>
          <t>Trang xem tiến độ con</t>
        </is>
      </c>
      <c r="D83" s="13" t="n">
        <v>2</v>
      </c>
      <c r="E83" s="8">
        <f>D83/SUM($D$2:$D$116)*100</f>
        <v/>
      </c>
      <c r="F83" s="13" t="inlineStr">
        <is>
          <t>Chưa</t>
        </is>
      </c>
      <c r="G83" s="8">
        <f>E83*IF(F83="Xong",1,IF(F83="Đang",0.5,0))</f>
        <v/>
      </c>
      <c r="H83" s="7" t="inlineStr"/>
    </row>
    <row r="84">
      <c r="A84" s="7" t="inlineStr">
        <is>
          <t>I. Phụ huynh</t>
        </is>
      </c>
      <c r="B84" s="13" t="inlineStr">
        <is>
          <t>I3</t>
        </is>
      </c>
      <c r="C84" s="7" t="inlineStr">
        <is>
          <t>Báo cáo mẫu định kỳ (email; Zalo v-next)</t>
        </is>
      </c>
      <c r="D84" s="13" t="n">
        <v>2</v>
      </c>
      <c r="E84" s="8">
        <f>D84/SUM($D$2:$D$116)*100</f>
        <v/>
      </c>
      <c r="F84" s="13" t="inlineStr">
        <is>
          <t>Chưa</t>
        </is>
      </c>
      <c r="G84" s="8">
        <f>E84*IF(F84="Xong",1,IF(F84="Đang",0.5,0))</f>
        <v/>
      </c>
      <c r="H84" s="7" t="inlineStr"/>
    </row>
    <row r="85">
      <c r="A85" s="7" t="inlineStr">
        <is>
          <t>J. Admin &amp; vận hành</t>
        </is>
      </c>
      <c r="B85" s="13" t="inlineStr">
        <is>
          <t>J1</t>
        </is>
      </c>
      <c r="C85" s="7" t="inlineStr">
        <is>
          <t>Trang Admin + các vai user_role</t>
        </is>
      </c>
      <c r="D85" s="13" t="n">
        <v>2</v>
      </c>
      <c r="E85" s="8">
        <f>D85/SUM($D$2:$D$116)*100</f>
        <v/>
      </c>
      <c r="F85" s="13" t="inlineStr">
        <is>
          <t>Xong</t>
        </is>
      </c>
      <c r="G85" s="8">
        <f>E85*IF(F85="Xong",1,IF(F85="Đang",0.5,0))</f>
        <v/>
      </c>
      <c r="H85" s="7" t="inlineStr"/>
    </row>
    <row r="86">
      <c r="A86" s="7" t="inlineStr">
        <is>
          <t>J. Admin &amp; vận hành</t>
        </is>
      </c>
      <c r="B86" s="13" t="inlineStr">
        <is>
          <t>J2</t>
        </is>
      </c>
      <c r="C86" s="7" t="inlineStr">
        <is>
          <t>Cờ KHẨN CẤP (bắt nạt/tổn thương) → cảnh báo counselor/admin</t>
        </is>
      </c>
      <c r="D86" s="13" t="n">
        <v>2</v>
      </c>
      <c r="E86" s="8">
        <f>D86/SUM($D$2:$D$116)*100</f>
        <v/>
      </c>
      <c r="F86" s="13" t="inlineStr">
        <is>
          <t>Chưa</t>
        </is>
      </c>
      <c r="G86" s="8">
        <f>E86*IF(F86="Xong",1,IF(F86="Đang",0.5,0))</f>
        <v/>
      </c>
      <c r="H86" s="7" t="inlineStr"/>
    </row>
    <row r="87">
      <c r="A87" s="7" t="inlineStr">
        <is>
          <t>J. Admin &amp; vận hành</t>
        </is>
      </c>
      <c r="B87" s="13" t="inlineStr">
        <is>
          <t>J3</t>
        </is>
      </c>
      <c r="C87" s="7" t="inlineStr">
        <is>
          <t>Audit logs + rate limiting</t>
        </is>
      </c>
      <c r="D87" s="13" t="n">
        <v>1</v>
      </c>
      <c r="E87" s="8">
        <f>D87/SUM($D$2:$D$116)*100</f>
        <v/>
      </c>
      <c r="F87" s="13" t="inlineStr">
        <is>
          <t>Xong</t>
        </is>
      </c>
      <c r="G87" s="8">
        <f>E87*IF(F87="Xong",1,IF(F87="Đang",0.5,0))</f>
        <v/>
      </c>
      <c r="H87" s="7" t="inlineStr"/>
    </row>
    <row r="88">
      <c r="A88" s="7" t="inlineStr">
        <is>
          <t>J. Admin &amp; vận hành</t>
        </is>
      </c>
      <c r="B88" s="13" t="inlineStr">
        <is>
          <t>J4</t>
        </is>
      </c>
      <c r="C88" s="7" t="inlineStr">
        <is>
          <t>DPO / quản lý yêu cầu dữ liệu</t>
        </is>
      </c>
      <c r="D88" s="13" t="n">
        <v>1</v>
      </c>
      <c r="E88" s="8">
        <f>D88/SUM($D$2:$D$116)*100</f>
        <v/>
      </c>
      <c r="F88" s="13" t="inlineStr">
        <is>
          <t>Đang</t>
        </is>
      </c>
      <c r="G88" s="8">
        <f>E88*IF(F88="Xong",1,IF(F88="Đang",0.5,0))</f>
        <v/>
      </c>
      <c r="H88" s="7" t="inlineStr"/>
    </row>
    <row r="89">
      <c r="A89" s="7" t="inlineStr">
        <is>
          <t>K. PDPL tuân thủ</t>
        </is>
      </c>
      <c r="B89" s="13" t="inlineStr">
        <is>
          <t>K1</t>
        </is>
      </c>
      <c r="C89" s="7" t="inlineStr">
        <is>
          <t>Bảng consent + gate xử lý</t>
        </is>
      </c>
      <c r="D89" s="13" t="n">
        <v>1</v>
      </c>
      <c r="E89" s="8">
        <f>D89/SUM($D$2:$D$116)*100</f>
        <v/>
      </c>
      <c r="F89" s="13" t="inlineStr">
        <is>
          <t>Xong</t>
        </is>
      </c>
      <c r="G89" s="8">
        <f>E89*IF(F89="Xong",1,IF(F89="Đang",0.5,0))</f>
        <v/>
      </c>
      <c r="H89" s="7" t="inlineStr"/>
    </row>
    <row r="90">
      <c r="A90" s="7" t="inlineStr">
        <is>
          <t>K. PDPL tuân thủ</t>
        </is>
      </c>
      <c r="B90" s="13" t="inlineStr">
        <is>
          <t>K2</t>
        </is>
      </c>
      <c r="C90" s="7" t="inlineStr">
        <is>
          <t>Rút đồng ý → dừng xử lý ngay (chat-turn)</t>
        </is>
      </c>
      <c r="D90" s="13" t="n">
        <v>1</v>
      </c>
      <c r="E90" s="8">
        <f>D90/SUM($D$2:$D$116)*100</f>
        <v/>
      </c>
      <c r="F90" s="13" t="inlineStr">
        <is>
          <t>Xong</t>
        </is>
      </c>
      <c r="G90" s="8">
        <f>E90*IF(F90="Xong",1,IF(F90="Đang",0.5,0))</f>
        <v/>
      </c>
      <c r="H90" s="7" t="inlineStr"/>
    </row>
    <row r="91">
      <c r="A91" s="7" t="inlineStr">
        <is>
          <t>K. PDPL tuân thủ</t>
        </is>
      </c>
      <c r="B91" s="13" t="inlineStr">
        <is>
          <t>K3</t>
        </is>
      </c>
      <c r="C91" s="7" t="inlineStr">
        <is>
          <t>Luồng đồng thuận kép (trẻ ≥7 + phụ huynh) từ MVP</t>
        </is>
      </c>
      <c r="D91" s="13" t="n">
        <v>2</v>
      </c>
      <c r="E91" s="8">
        <f>D91/SUM($D$2:$D$116)*100</f>
        <v/>
      </c>
      <c r="F91" s="13" t="inlineStr">
        <is>
          <t>Chưa</t>
        </is>
      </c>
      <c r="G91" s="8">
        <f>E91*IF(F91="Xong",1,IF(F91="Đang",0.5,0))</f>
        <v/>
      </c>
      <c r="H91" s="7" t="inlineStr"/>
    </row>
    <row r="92">
      <c r="A92" s="7" t="inlineStr">
        <is>
          <t>K. PDPL tuân thủ</t>
        </is>
      </c>
      <c r="B92" s="13" t="inlineStr">
        <is>
          <t>K4</t>
        </is>
      </c>
      <c r="C92" s="7" t="inlineStr">
        <is>
          <t>Ẩn danh trước khi gửi LLM</t>
        </is>
      </c>
      <c r="D92" s="13" t="n">
        <v>1</v>
      </c>
      <c r="E92" s="8">
        <f>D92/SUM($D$2:$D$116)*100</f>
        <v/>
      </c>
      <c r="F92" s="13" t="inlineStr">
        <is>
          <t>Xong</t>
        </is>
      </c>
      <c r="G92" s="8">
        <f>E92*IF(F92="Xong",1,IF(F92="Đang",0.5,0))</f>
        <v/>
      </c>
      <c r="H92" s="7" t="inlineStr"/>
    </row>
    <row r="93">
      <c r="A93" s="7" t="inlineStr">
        <is>
          <t>K. PDPL tuân thủ</t>
        </is>
      </c>
      <c r="B93" s="13" t="inlineStr">
        <is>
          <t>K5</t>
        </is>
      </c>
      <c r="C93" s="7" t="inlineStr">
        <is>
          <t>Tối thiểu hoá dữ liệu + cân nhắc lưu trữ VN</t>
        </is>
      </c>
      <c r="D93" s="13" t="n">
        <v>1</v>
      </c>
      <c r="E93" s="8">
        <f>D93/SUM($D$2:$D$116)*100</f>
        <v/>
      </c>
      <c r="F93" s="13" t="inlineStr">
        <is>
          <t>Đang</t>
        </is>
      </c>
      <c r="G93" s="8">
        <f>E93*IF(F93="Xong",1,IF(F93="Đang",0.5,0))</f>
        <v/>
      </c>
      <c r="H93" s="7" t="inlineStr"/>
    </row>
    <row r="94">
      <c r="A94" s="7" t="inlineStr">
        <is>
          <t>K. PDPL tuân thủ</t>
        </is>
      </c>
      <c r="B94" s="13" t="inlineStr">
        <is>
          <t>K6</t>
        </is>
      </c>
      <c r="C94" s="7" t="inlineStr">
        <is>
          <t>Checklist PDPL + luật sư rà</t>
        </is>
      </c>
      <c r="D94" s="13" t="n">
        <v>1</v>
      </c>
      <c r="E94" s="8">
        <f>D94/SUM($D$2:$D$116)*100</f>
        <v/>
      </c>
      <c r="F94" s="13" t="inlineStr">
        <is>
          <t>Chưa</t>
        </is>
      </c>
      <c r="G94" s="8">
        <f>E94*IF(F94="Xong",1,IF(F94="Đang",0.5,0))</f>
        <v/>
      </c>
      <c r="H94" s="7" t="inlineStr"/>
    </row>
    <row r="95">
      <c r="A95" s="7" t="inlineStr">
        <is>
          <t>L. Nhà máy nội dung</t>
        </is>
      </c>
      <c r="B95" s="13" t="inlineStr">
        <is>
          <t>L1</t>
        </is>
      </c>
      <c r="C95" s="7" t="inlineStr">
        <is>
          <t>Cầu Studio→Tutor: import câu hỏi theo mã atom</t>
        </is>
      </c>
      <c r="D95" s="13" t="n">
        <v>2</v>
      </c>
      <c r="E95" s="8">
        <f>D95/SUM($D$2:$D$116)*100</f>
        <v/>
      </c>
      <c r="F95" s="13" t="inlineStr">
        <is>
          <t>Xong</t>
        </is>
      </c>
      <c r="G95" s="8">
        <f>E95*IF(F95="Xong",1,IF(F95="Đang",0.5,0))</f>
        <v/>
      </c>
      <c r="H95" s="7" t="inlineStr"/>
    </row>
    <row r="96">
      <c r="A96" s="7" t="inlineStr">
        <is>
          <t>L. Nhà máy nội dung</t>
        </is>
      </c>
      <c r="B96" s="13" t="inlineStr">
        <is>
          <t>L2</t>
        </is>
      </c>
      <c r="C96" s="7" t="inlineStr">
        <is>
          <t>Import thang Socratic (chuyển định dạng)</t>
        </is>
      </c>
      <c r="D96" s="13" t="n">
        <v>1</v>
      </c>
      <c r="E96" s="8">
        <f>D96/SUM($D$2:$D$116)*100</f>
        <v/>
      </c>
      <c r="F96" s="13" t="inlineStr">
        <is>
          <t>Xong</t>
        </is>
      </c>
      <c r="G96" s="8">
        <f>E96*IF(F96="Xong",1,IF(F96="Đang",0.5,0))</f>
        <v/>
      </c>
      <c r="H96" s="7" t="inlineStr"/>
    </row>
    <row r="97">
      <c r="A97" s="7" t="inlineStr">
        <is>
          <t>L. Nhà máy nội dung</t>
        </is>
      </c>
      <c r="B97" s="13" t="inlineStr">
        <is>
          <t>L3</t>
        </is>
      </c>
      <c r="C97" s="7" t="inlineStr">
        <is>
          <t>Importer chung mở môn mới + runbook (Đợt D)</t>
        </is>
      </c>
      <c r="D97" s="13" t="n">
        <v>1</v>
      </c>
      <c r="E97" s="8">
        <f>D97/SUM($D$2:$D$116)*100</f>
        <v/>
      </c>
      <c r="F97" s="13" t="inlineStr">
        <is>
          <t>Xong</t>
        </is>
      </c>
      <c r="G97" s="8">
        <f>E97*IF(F97="Xong",1,IF(F97="Đang",0.5,0))</f>
        <v/>
      </c>
      <c r="H97" s="7" t="inlineStr"/>
    </row>
    <row r="98">
      <c r="A98" s="7" t="inlineStr">
        <is>
          <t>L. Nhà máy nội dung</t>
        </is>
      </c>
      <c r="B98" s="13" t="inlineStr">
        <is>
          <t>L4</t>
        </is>
      </c>
      <c r="C98" s="7" t="inlineStr">
        <is>
          <t>Cửa cắm bộ câu hỏi + gói version</t>
        </is>
      </c>
      <c r="D98" s="13" t="n">
        <v>1</v>
      </c>
      <c r="E98" s="8">
        <f>D98/SUM($D$2:$D$116)*100</f>
        <v/>
      </c>
      <c r="F98" s="13" t="inlineStr">
        <is>
          <t>Xong</t>
        </is>
      </c>
      <c r="G98" s="8">
        <f>E98*IF(F98="Xong",1,IF(F98="Đang",0.5,0))</f>
        <v/>
      </c>
      <c r="H98" s="7" t="inlineStr"/>
    </row>
    <row r="99">
      <c r="A99" s="7" t="inlineStr">
        <is>
          <t>L. Nhà máy nội dung</t>
        </is>
      </c>
      <c r="B99" s="13" t="inlineStr">
        <is>
          <t>L5</t>
        </is>
      </c>
      <c r="C99" s="7" t="inlineStr">
        <is>
          <t>Vòng phản hồi thống kê → tracker Studio</t>
        </is>
      </c>
      <c r="D99" s="13" t="n">
        <v>1</v>
      </c>
      <c r="E99" s="8">
        <f>D99/SUM($D$2:$D$116)*100</f>
        <v/>
      </c>
      <c r="F99" s="13" t="inlineStr">
        <is>
          <t>Đang</t>
        </is>
      </c>
      <c r="G99" s="8">
        <f>E99*IF(F99="Xong",1,IF(F99="Đang",0.5,0))</f>
        <v/>
      </c>
      <c r="H99" s="7" t="inlineStr"/>
    </row>
    <row r="100">
      <c r="A100" s="7" t="inlineStr">
        <is>
          <t>M. Gamification &amp; báo cáo</t>
        </is>
      </c>
      <c r="B100" s="13" t="inlineStr">
        <is>
          <t>M1</t>
        </is>
      </c>
      <c r="C100" s="7" t="inlineStr">
        <is>
          <t>XP nỗ lực (streak/mastery/kiên trì)</t>
        </is>
      </c>
      <c r="D100" s="13" t="n">
        <v>2</v>
      </c>
      <c r="E100" s="8">
        <f>D100/SUM($D$2:$D$116)*100</f>
        <v/>
      </c>
      <c r="F100" s="13" t="inlineStr">
        <is>
          <t>Xong</t>
        </is>
      </c>
      <c r="G100" s="8">
        <f>E100*IF(F100="Xong",1,IF(F100="Đang",0.5,0))</f>
        <v/>
      </c>
      <c r="H100" s="7" t="inlineStr"/>
    </row>
    <row r="101">
      <c r="A101" s="7" t="inlineStr">
        <is>
          <t>M. Gamification &amp; báo cáo</t>
        </is>
      </c>
      <c r="B101" s="13" t="inlineStr">
        <is>
          <t>M2</t>
        </is>
      </c>
      <c r="C101" s="7" t="inlineStr">
        <is>
          <t>Scoreboard lớp/khối</t>
        </is>
      </c>
      <c r="D101" s="13" t="n">
        <v>1</v>
      </c>
      <c r="E101" s="8">
        <f>D101/SUM($D$2:$D$116)*100</f>
        <v/>
      </c>
      <c r="F101" s="13" t="inlineStr">
        <is>
          <t>Xong</t>
        </is>
      </c>
      <c r="G101" s="8">
        <f>E101*IF(F101="Xong",1,IF(F101="Đang",0.5,0))</f>
        <v/>
      </c>
      <c r="H101" s="7" t="inlineStr"/>
    </row>
    <row r="102">
      <c r="A102" s="7" t="inlineStr">
        <is>
          <t>M. Gamification &amp; báo cáo</t>
        </is>
      </c>
      <c r="B102" s="13" t="inlineStr">
        <is>
          <t>M3</t>
        </is>
      </c>
      <c r="C102" s="7" t="inlineStr">
        <is>
          <t>Export báo cáo Excel/PDF</t>
        </is>
      </c>
      <c r="D102" s="13" t="n">
        <v>2</v>
      </c>
      <c r="E102" s="8">
        <f>D102/SUM($D$2:$D$116)*100</f>
        <v/>
      </c>
      <c r="F102" s="13" t="inlineStr">
        <is>
          <t>Chưa</t>
        </is>
      </c>
      <c r="G102" s="8">
        <f>E102*IF(F102="Xong",1,IF(F102="Đang",0.5,0))</f>
        <v/>
      </c>
      <c r="H102" s="7" t="inlineStr"/>
    </row>
    <row r="103">
      <c r="A103" s="7" t="inlineStr">
        <is>
          <t>M. Gamification &amp; báo cáo</t>
        </is>
      </c>
      <c r="B103" s="13" t="inlineStr">
        <is>
          <t>M4</t>
        </is>
      </c>
      <c r="C103" s="7" t="inlineStr">
        <is>
          <t>Heatmap báo cáo GV</t>
        </is>
      </c>
      <c r="D103" s="13" t="n">
        <v>1</v>
      </c>
      <c r="E103" s="8">
        <f>D103/SUM($D$2:$D$116)*100</f>
        <v/>
      </c>
      <c r="F103" s="13" t="inlineStr">
        <is>
          <t>Đang</t>
        </is>
      </c>
      <c r="G103" s="8">
        <f>E103*IF(F103="Xong",1,IF(F103="Đang",0.5,0))</f>
        <v/>
      </c>
      <c r="H103" s="7" t="inlineStr"/>
    </row>
    <row r="104">
      <c r="A104" s="7" t="inlineStr">
        <is>
          <t>N. Kiến trúc &amp; triển khai</t>
        </is>
      </c>
      <c r="B104" s="13" t="inlineStr">
        <is>
          <t>N1</t>
        </is>
      </c>
      <c r="C104" s="7" t="inlineStr">
        <is>
          <t>Next.js static export</t>
        </is>
      </c>
      <c r="D104" s="13" t="n">
        <v>1</v>
      </c>
      <c r="E104" s="8">
        <f>D104/SUM($D$2:$D$116)*100</f>
        <v/>
      </c>
      <c r="F104" s="13" t="inlineStr">
        <is>
          <t>Xong</t>
        </is>
      </c>
      <c r="G104" s="8">
        <f>E104*IF(F104="Xong",1,IF(F104="Đang",0.5,0))</f>
        <v/>
      </c>
      <c r="H104" s="7" t="inlineStr"/>
    </row>
    <row r="105">
      <c r="A105" s="7" t="inlineStr">
        <is>
          <t>N. Kiến trúc &amp; triển khai</t>
        </is>
      </c>
      <c r="B105" s="13" t="inlineStr">
        <is>
          <t>N2</t>
        </is>
      </c>
      <c r="C105" s="7" t="inlineStr">
        <is>
          <t>Edge Functions deploy (LIVE trên production)</t>
        </is>
      </c>
      <c r="D105" s="13" t="n">
        <v>2</v>
      </c>
      <c r="E105" s="8">
        <f>D105/SUM($D$2:$D$116)*100</f>
        <v/>
      </c>
      <c r="F105" s="13" t="inlineStr">
        <is>
          <t>Xong</t>
        </is>
      </c>
      <c r="G105" s="8">
        <f>E105*IF(F105="Xong",1,IF(F105="Đang",0.5,0))</f>
        <v/>
      </c>
      <c r="H105" s="7" t="inlineStr"/>
    </row>
    <row r="106">
      <c r="A106" s="7" t="inlineStr">
        <is>
          <t>N. Kiến trúc &amp; triển khai</t>
        </is>
      </c>
      <c r="B106" s="13" t="inlineStr">
        <is>
          <t>N3</t>
        </is>
      </c>
      <c r="C106" s="7" t="inlineStr">
        <is>
          <t>Deploy web production (Cloudflare Workers)</t>
        </is>
      </c>
      <c r="D106" s="13" t="n">
        <v>2</v>
      </c>
      <c r="E106" s="8">
        <f>D106/SUM($D$2:$D$116)*100</f>
        <v/>
      </c>
      <c r="F106" s="13" t="inlineStr">
        <is>
          <t>Chưa</t>
        </is>
      </c>
      <c r="G106" s="8">
        <f>E106*IF(F106="Xong",1,IF(F106="Đang",0.5,0))</f>
        <v/>
      </c>
      <c r="H106" s="7" t="inlineStr"/>
    </row>
    <row r="107">
      <c r="A107" s="7" t="inlineStr">
        <is>
          <t>N. Kiến trúc &amp; triển khai</t>
        </is>
      </c>
      <c r="B107" s="13" t="inlineStr">
        <is>
          <t>N4</t>
        </is>
      </c>
      <c r="C107" s="7" t="inlineStr">
        <is>
          <t>Dev CORS proxy + tunnel test</t>
        </is>
      </c>
      <c r="D107" s="13" t="n">
        <v>1</v>
      </c>
      <c r="E107" s="8">
        <f>D107/SUM($D$2:$D$116)*100</f>
        <v/>
      </c>
      <c r="F107" s="13" t="inlineStr">
        <is>
          <t>Xong</t>
        </is>
      </c>
      <c r="G107" s="8">
        <f>E107*IF(F107="Xong",1,IF(F107="Đang",0.5,0))</f>
        <v/>
      </c>
      <c r="H107" s="7" t="inlineStr"/>
    </row>
    <row r="108">
      <c r="A108" s="7" t="inlineStr">
        <is>
          <t>N. Kiến trúc &amp; triển khai</t>
        </is>
      </c>
      <c r="B108" s="13" t="inlineStr">
        <is>
          <t>N5</t>
        </is>
      </c>
      <c r="C108" s="7" t="inlineStr">
        <is>
          <t>Monitoring / logging / cảnh báo lỗi</t>
        </is>
      </c>
      <c r="D108" s="13" t="n">
        <v>1</v>
      </c>
      <c r="E108" s="8">
        <f>D108/SUM($D$2:$D$116)*100</f>
        <v/>
      </c>
      <c r="F108" s="13" t="inlineStr">
        <is>
          <t>Đang</t>
        </is>
      </c>
      <c r="G108" s="8">
        <f>E108*IF(F108="Xong",1,IF(F108="Đang",0.5,0))</f>
        <v/>
      </c>
      <c r="H108" s="7" t="inlineStr"/>
    </row>
    <row r="109">
      <c r="A109" s="7" t="inlineStr">
        <is>
          <t>N. Kiến trúc &amp; triển khai</t>
        </is>
      </c>
      <c r="B109" s="13" t="inlineStr">
        <is>
          <t>N6</t>
        </is>
      </c>
      <c r="C109" s="7" t="inlineStr">
        <is>
          <t>Kiểm tải / scale</t>
        </is>
      </c>
      <c r="D109" s="13" t="n">
        <v>1</v>
      </c>
      <c r="E109" s="8">
        <f>D109/SUM($D$2:$D$116)*100</f>
        <v/>
      </c>
      <c r="F109" s="13" t="inlineStr">
        <is>
          <t>Chưa</t>
        </is>
      </c>
      <c r="G109" s="8">
        <f>E109*IF(F109="Xong",1,IF(F109="Đang",0.5,0))</f>
        <v/>
      </c>
      <c r="H109" s="7" t="inlineStr"/>
    </row>
    <row r="110">
      <c r="A110" s="7" t="inlineStr">
        <is>
          <t>N. Kiến trúc &amp; triển khai</t>
        </is>
      </c>
      <c r="B110" s="13" t="inlineStr">
        <is>
          <t>N7</t>
        </is>
      </c>
      <c r="C110" s="7" t="inlineStr">
        <is>
          <t>Runbook production bootstrap</t>
        </is>
      </c>
      <c r="D110" s="13" t="n">
        <v>1</v>
      </c>
      <c r="E110" s="8">
        <f>D110/SUM($D$2:$D$116)*100</f>
        <v/>
      </c>
      <c r="F110" s="13" t="inlineStr">
        <is>
          <t>Xong</t>
        </is>
      </c>
      <c r="G110" s="8">
        <f>E110*IF(F110="Xong",1,IF(F110="Đang",0.5,0))</f>
        <v/>
      </c>
      <c r="H110" s="7" t="inlineStr"/>
    </row>
    <row r="111">
      <c r="A111" s="7" t="inlineStr">
        <is>
          <t>O. Đo lường A/B</t>
        </is>
      </c>
      <c r="B111" s="13" t="inlineStr">
        <is>
          <t>O1</t>
        </is>
      </c>
      <c r="C111" s="7" t="inlineStr">
        <is>
          <t>Thiết kế A/B + nhóm đối chứng</t>
        </is>
      </c>
      <c r="D111" s="13" t="n">
        <v>1</v>
      </c>
      <c r="E111" s="8">
        <f>D111/SUM($D$2:$D$116)*100</f>
        <v/>
      </c>
      <c r="F111" s="13" t="inlineStr">
        <is>
          <t>Chưa</t>
        </is>
      </c>
      <c r="G111" s="8">
        <f>E111*IF(F111="Xong",1,IF(F111="Đang",0.5,0))</f>
        <v/>
      </c>
      <c r="H111" s="7" t="inlineStr"/>
    </row>
    <row r="112">
      <c r="A112" s="7" t="inlineStr">
        <is>
          <t>O. Đo lường A/B</t>
        </is>
      </c>
      <c r="B112" s="13" t="inlineStr">
        <is>
          <t>O2</t>
        </is>
      </c>
      <c r="C112" s="7" t="inlineStr">
        <is>
          <t>Baseline/endline gắn điểm kiểm tra trường</t>
        </is>
      </c>
      <c r="D112" s="13" t="n">
        <v>2</v>
      </c>
      <c r="E112" s="8">
        <f>D112/SUM($D$2:$D$116)*100</f>
        <v/>
      </c>
      <c r="F112" s="13" t="inlineStr">
        <is>
          <t>Chưa</t>
        </is>
      </c>
      <c r="G112" s="8">
        <f>E112*IF(F112="Xong",1,IF(F112="Đang",0.5,0))</f>
        <v/>
      </c>
      <c r="H112" s="7" t="inlineStr"/>
    </row>
    <row r="113">
      <c r="A113" s="7" t="inlineStr">
        <is>
          <t>O. Đo lường A/B</t>
        </is>
      </c>
      <c r="B113" s="13" t="inlineStr">
        <is>
          <t>O3</t>
        </is>
      </c>
      <c r="C113" s="7" t="inlineStr">
        <is>
          <t>Analytics dùng app + KPI dashboard</t>
        </is>
      </c>
      <c r="D113" s="13" t="n">
        <v>2</v>
      </c>
      <c r="E113" s="8">
        <f>D113/SUM($D$2:$D$116)*100</f>
        <v/>
      </c>
      <c r="F113" s="13" t="inlineStr">
        <is>
          <t>Chưa</t>
        </is>
      </c>
      <c r="G113" s="8">
        <f>E113*IF(F113="Xong",1,IF(F113="Đang",0.5,0))</f>
        <v/>
      </c>
      <c r="H113" s="7" t="inlineStr"/>
    </row>
    <row r="114">
      <c r="A114" s="7" t="inlineStr">
        <is>
          <t>O. Đo lường A/B</t>
        </is>
      </c>
      <c r="B114" s="13" t="inlineStr">
        <is>
          <t>O4</t>
        </is>
      </c>
      <c r="C114" s="7" t="inlineStr">
        <is>
          <t>Theo dõi retention hằng tuần</t>
        </is>
      </c>
      <c r="D114" s="13" t="n">
        <v>1</v>
      </c>
      <c r="E114" s="8">
        <f>D114/SUM($D$2:$D$116)*100</f>
        <v/>
      </c>
      <c r="F114" s="13" t="inlineStr">
        <is>
          <t>Chưa</t>
        </is>
      </c>
      <c r="G114" s="8">
        <f>E114*IF(F114="Xong",1,IF(F114="Đang",0.5,0))</f>
        <v/>
      </c>
      <c r="H114" s="7" t="inlineStr"/>
    </row>
    <row r="115">
      <c r="A115" s="7" t="inlineStr">
        <is>
          <t>P. Nhân bản môn mới</t>
        </is>
      </c>
      <c r="B115" s="13" t="inlineStr">
        <is>
          <t>P1</t>
        </is>
      </c>
      <c r="C115" s="7" t="inlineStr">
        <is>
          <t>GDKTPL 10 onboard (enum + version + nạp bundle Studio)</t>
        </is>
      </c>
      <c r="D115" s="13" t="n">
        <v>2</v>
      </c>
      <c r="E115" s="8">
        <f>D115/SUM($D$2:$D$116)*100</f>
        <v/>
      </c>
      <c r="F115" s="13" t="inlineStr">
        <is>
          <t>Chưa</t>
        </is>
      </c>
      <c r="G115" s="8">
        <f>E115*IF(F115="Xong",1,IF(F115="Đang",0.5,0))</f>
        <v/>
      </c>
      <c r="H115" s="7" t="inlineStr">
        <is>
          <t>cửa importer đã sẵn</t>
        </is>
      </c>
    </row>
    <row r="116">
      <c r="A116" s="7" t="inlineStr">
        <is>
          <t>P. Nhân bản môn mới</t>
        </is>
      </c>
      <c r="B116" s="13" t="inlineStr">
        <is>
          <t>P2</t>
        </is>
      </c>
      <c r="C116" s="7" t="inlineStr">
        <is>
          <t>Bật môn mới trên bộ chọn môn</t>
        </is>
      </c>
      <c r="D116" s="13" t="n">
        <v>1</v>
      </c>
      <c r="E116" s="8">
        <f>D116/SUM($D$2:$D$116)*100</f>
        <v/>
      </c>
      <c r="F116" s="13" t="inlineStr">
        <is>
          <t>Chưa</t>
        </is>
      </c>
      <c r="G116" s="8">
        <f>E116*IF(F116="Xong",1,IF(F116="Đang",0.5,0))</f>
        <v/>
      </c>
      <c r="H116" s="7" t="inlineStr"/>
    </row>
    <row r="117">
      <c r="C117" s="14" t="inlineStr">
        <is>
          <t>TỔNG</t>
        </is>
      </c>
      <c r="D117" s="15">
        <f>SUM(D2:D116)</f>
        <v/>
      </c>
      <c r="E117" s="16">
        <f>SUM(E2:E116)</f>
        <v/>
      </c>
      <c r="F117" s="17" t="n"/>
      <c r="G117" s="18">
        <f>SUM(G2:G116)</f>
        <v/>
      </c>
    </row>
  </sheetData>
  <autoFilter ref="A1:H116"/>
  <conditionalFormatting sqref="F2:F116">
    <cfRule type="cellIs" priority="1" operator="equal" dxfId="0">
      <formula>"Xong"</formula>
    </cfRule>
    <cfRule type="cellIs" priority="2" operator="equal" dxfId="1">
      <formula>"Đang"</formula>
    </cfRule>
    <cfRule type="cellIs" priority="3" operator="equal" dxfId="2">
      <formula>"Chưa"</formula>
    </cfRule>
  </conditionalFormatting>
  <dataValidations count="1">
    <dataValidation sqref="F2:F116" showDropDown="0" showInputMessage="0" showErrorMessage="0" allowBlank="0" type="list">
      <formula1>"Xong,Đang,Chưa"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2026-07-23T01:22:44Z</dcterms:created>
  <dcterms:modified xmlns:dcterms="http://purl.org/dc/terms/" xmlns:xsi="http://www.w3.org/2001/XMLSchema-instance" xsi:type="dcterms:W3CDTF">2026-07-23T01:22:44Z</dcterms:modified>
</cp:coreProperties>
</file>